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waccache\MI2PEPF0000056D\EXCELCNV\031c642a-7108-407f-a860-4921f3e29c1e\"/>
    </mc:Choice>
  </mc:AlternateContent>
  <xr:revisionPtr revIDLastSave="0" documentId="8_{5BDDA29E-B473-4FD1-9439-3E34E3E7ABD8}" xr6:coauthVersionLast="47" xr6:coauthVersionMax="47" xr10:uidLastSave="{00000000-0000-0000-0000-000000000000}"/>
  <bookViews>
    <workbookView xWindow="-60" yWindow="-60" windowWidth="15480" windowHeight="11640" xr2:uid="{568896B5-7331-4093-9BB3-CB88930C2870}"/>
  </bookViews>
  <sheets>
    <sheet name="GRID_ID" sheetId="1" r:id="rId1"/>
  </sheets>
  <definedNames>
    <definedName name="_xlnm.Database">GRID_ID!$A$19:$C$50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20" i="1"/>
  <c r="E20" i="1" s="1"/>
  <c r="A57" i="1"/>
  <c r="F59" i="1" s="1"/>
  <c r="D13" i="1"/>
  <c r="D14" i="1"/>
  <c r="D15" i="1"/>
  <c r="E53" i="1" l="1"/>
  <c r="E52" i="1"/>
  <c r="E51" i="1"/>
  <c r="E54" i="1" l="1"/>
  <c r="D17" i="1" s="1"/>
  <c r="D16" i="1"/>
</calcChain>
</file>

<file path=xl/sharedStrings.xml><?xml version="1.0" encoding="utf-8"?>
<sst xmlns="http://schemas.openxmlformats.org/spreadsheetml/2006/main" count="27" uniqueCount="25">
  <si>
    <t>Vertical Position Accuracy Test</t>
  </si>
  <si>
    <t>Location:</t>
  </si>
  <si>
    <t>Balzan, Malta</t>
  </si>
  <si>
    <t>Area of Interest:</t>
  </si>
  <si>
    <t>Minimum X</t>
  </si>
  <si>
    <t>Maximum X</t>
  </si>
  <si>
    <t>Minimum Y</t>
  </si>
  <si>
    <t>Maximum Y</t>
  </si>
  <si>
    <t>Summary of results:</t>
  </si>
  <si>
    <t>No. of Points in sample</t>
  </si>
  <si>
    <t>No. of Points dicarded</t>
  </si>
  <si>
    <t>% of Points discarded</t>
  </si>
  <si>
    <t>RMSE</t>
  </si>
  <si>
    <t>Accuracy</t>
  </si>
  <si>
    <t>Point Number</t>
  </si>
  <si>
    <t>Z (Independent)</t>
  </si>
  <si>
    <t>Z (Test)</t>
  </si>
  <si>
    <t>Diff. in Z</t>
  </si>
  <si>
    <r>
      <t>(Diff. in Z)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 xml:space="preserve"> </t>
    </r>
  </si>
  <si>
    <t>Pts Discarded</t>
  </si>
  <si>
    <t>Sum</t>
  </si>
  <si>
    <t>Average</t>
  </si>
  <si>
    <t>Number of points count</t>
  </si>
  <si>
    <t>Number of points discarded</t>
  </si>
  <si>
    <t>Percentage points 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</si>
</sst>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>
    <font>
      <sz val="10"/>
      <name val="Times New Roman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" fontId="3" fillId="0" borderId="4" xfId="0" applyNumberFormat="1" applyFont="1" applyBorder="1"/>
    <xf numFmtId="0" fontId="3" fillId="0" borderId="5" xfId="0" applyFont="1" applyBorder="1"/>
    <xf numFmtId="10" fontId="3" fillId="0" borderId="5" xfId="0" applyNumberFormat="1" applyFont="1" applyBorder="1"/>
    <xf numFmtId="165" fontId="3" fillId="0" borderId="5" xfId="0" applyNumberFormat="1" applyFont="1" applyBorder="1"/>
    <xf numFmtId="165" fontId="3" fillId="0" borderId="6" xfId="0" applyNumberFormat="1" applyFont="1" applyBorder="1"/>
    <xf numFmtId="1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3" fillId="0" borderId="5" xfId="0" applyNumberFormat="1" applyFont="1" applyBorder="1"/>
    <xf numFmtId="164" fontId="3" fillId="0" borderId="6" xfId="0" applyNumberFormat="1" applyFont="1" applyBorder="1"/>
    <xf numFmtId="0" fontId="1" fillId="0" borderId="7" xfId="0" applyFont="1" applyBorder="1"/>
    <xf numFmtId="164" fontId="1" fillId="0" borderId="8" xfId="0" applyNumberFormat="1" applyFont="1" applyBorder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" fontId="3" fillId="0" borderId="9" xfId="0" applyNumberFormat="1" applyFont="1" applyBorder="1" applyAlignment="1">
      <alignment wrapText="1"/>
    </xf>
    <xf numFmtId="1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3" fillId="0" borderId="10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1" xfId="0" applyFont="1" applyBorder="1"/>
    <xf numFmtId="0" fontId="3" fillId="0" borderId="4" xfId="0" applyFont="1" applyBorder="1"/>
    <xf numFmtId="0" fontId="3" fillId="0" borderId="12" xfId="0" applyFont="1" applyBorder="1"/>
    <xf numFmtId="10" fontId="3" fillId="0" borderId="6" xfId="0" applyNumberFormat="1" applyFont="1" applyBorder="1"/>
    <xf numFmtId="1" fontId="2" fillId="0" borderId="13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4" fontId="3" fillId="0" borderId="14" xfId="0" applyNumberFormat="1" applyFont="1" applyBorder="1"/>
    <xf numFmtId="164" fontId="3" fillId="0" borderId="15" xfId="0" applyNumberFormat="1" applyFont="1" applyBorder="1"/>
    <xf numFmtId="2" fontId="0" fillId="0" borderId="4" xfId="0" applyNumberForma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3D82-28AF-4C4B-BFFE-827971A6BAD7}">
  <dimension ref="A1:F67"/>
  <sheetViews>
    <sheetView tabSelected="1" workbookViewId="0">
      <selection activeCell="I22" sqref="I22"/>
    </sheetView>
  </sheetViews>
  <sheetFormatPr defaultRowHeight="12.75"/>
  <cols>
    <col min="1" max="1" width="11.5" style="1" customWidth="1"/>
    <col min="2" max="2" width="21.83203125" style="3" customWidth="1"/>
    <col min="3" max="3" width="21.83203125" style="2" customWidth="1"/>
    <col min="4" max="4" width="14.6640625" customWidth="1"/>
    <col min="5" max="5" width="13.1640625" customWidth="1"/>
    <col min="6" max="6" width="10.33203125" customWidth="1"/>
  </cols>
  <sheetData>
    <row r="1" spans="1:6">
      <c r="A1" s="6"/>
      <c r="B1" s="5"/>
      <c r="C1" s="7"/>
      <c r="D1" s="7"/>
    </row>
    <row r="2" spans="1:6">
      <c r="A2" s="8"/>
      <c r="B2" s="5"/>
      <c r="C2" s="7"/>
      <c r="D2" s="7"/>
    </row>
    <row r="3" spans="1:6">
      <c r="A3" s="8"/>
      <c r="B3" s="5"/>
      <c r="C3" s="7"/>
      <c r="D3" s="7"/>
    </row>
    <row r="4" spans="1:6">
      <c r="A4" s="4" t="s">
        <v>0</v>
      </c>
      <c r="B4" s="5"/>
      <c r="C4" s="7"/>
      <c r="D4" s="7"/>
      <c r="F4" s="3"/>
    </row>
    <row r="5" spans="1:6">
      <c r="A5" s="6"/>
      <c r="B5" s="5"/>
      <c r="C5" s="7"/>
      <c r="D5" s="7"/>
      <c r="F5" s="3"/>
    </row>
    <row r="6" spans="1:6">
      <c r="A6" s="4" t="s">
        <v>1</v>
      </c>
      <c r="B6" s="4"/>
      <c r="C6" s="5" t="s">
        <v>2</v>
      </c>
      <c r="D6" s="7"/>
      <c r="E6" s="9"/>
      <c r="F6" s="3"/>
    </row>
    <row r="7" spans="1:6" ht="13.5" thickBot="1">
      <c r="A7" s="4"/>
      <c r="B7" s="4"/>
      <c r="C7" s="6"/>
      <c r="D7" s="7"/>
      <c r="E7" s="9"/>
      <c r="F7" s="3"/>
    </row>
    <row r="8" spans="1:6">
      <c r="A8" s="4" t="s">
        <v>3</v>
      </c>
      <c r="B8" s="7"/>
      <c r="C8" s="10" t="s">
        <v>4</v>
      </c>
      <c r="D8" s="42">
        <v>450324</v>
      </c>
      <c r="E8" s="9"/>
      <c r="F8" s="3"/>
    </row>
    <row r="9" spans="1:6">
      <c r="A9" s="4"/>
      <c r="B9" s="7"/>
      <c r="C9" s="11" t="s">
        <v>5</v>
      </c>
      <c r="D9" s="43">
        <v>451323</v>
      </c>
      <c r="E9" s="9"/>
      <c r="F9" s="3"/>
    </row>
    <row r="10" spans="1:6">
      <c r="A10" s="4"/>
      <c r="B10" s="7"/>
      <c r="C10" s="11" t="s">
        <v>6</v>
      </c>
      <c r="D10" s="44">
        <v>3972039</v>
      </c>
      <c r="E10" s="9"/>
      <c r="F10" s="3"/>
    </row>
    <row r="11" spans="1:6" ht="13.5" thickBot="1">
      <c r="A11" s="4"/>
      <c r="B11" s="7"/>
      <c r="C11" s="12" t="s">
        <v>7</v>
      </c>
      <c r="D11" s="45">
        <v>3973039</v>
      </c>
      <c r="E11" s="9"/>
      <c r="F11" s="3"/>
    </row>
    <row r="12" spans="1:6" ht="13.5" thickBot="1">
      <c r="A12" s="6"/>
      <c r="B12" s="7"/>
      <c r="C12" s="7"/>
      <c r="D12" s="9"/>
      <c r="E12" s="9"/>
      <c r="F12" s="3"/>
    </row>
    <row r="13" spans="1:6">
      <c r="A13" s="4" t="s">
        <v>8</v>
      </c>
      <c r="B13" s="7"/>
      <c r="C13" s="10" t="s">
        <v>9</v>
      </c>
      <c r="D13" s="13">
        <f>A57</f>
        <v>31</v>
      </c>
      <c r="E13" s="9"/>
      <c r="F13" s="3"/>
    </row>
    <row r="14" spans="1:6">
      <c r="A14" s="6"/>
      <c r="B14" s="7"/>
      <c r="C14" s="11" t="s">
        <v>10</v>
      </c>
      <c r="D14" s="14">
        <f>F58</f>
        <v>3</v>
      </c>
      <c r="E14" s="9"/>
      <c r="F14" s="3"/>
    </row>
    <row r="15" spans="1:6">
      <c r="A15" s="6"/>
      <c r="B15" s="7"/>
      <c r="C15" s="11" t="s">
        <v>11</v>
      </c>
      <c r="D15" s="15">
        <f>F59</f>
        <v>9.6774193548387094E-2</v>
      </c>
      <c r="E15" s="9"/>
      <c r="F15" s="3"/>
    </row>
    <row r="16" spans="1:6">
      <c r="A16" s="6"/>
      <c r="B16" s="7"/>
      <c r="C16" s="11" t="s">
        <v>12</v>
      </c>
      <c r="D16" s="16">
        <f>E53</f>
        <v>5.7063420031598886</v>
      </c>
      <c r="E16" s="9"/>
      <c r="F16" s="3"/>
    </row>
    <row r="17" spans="1:6" ht="13.5" thickBot="1">
      <c r="A17" s="6"/>
      <c r="B17" s="7"/>
      <c r="C17" s="12" t="s">
        <v>13</v>
      </c>
      <c r="D17" s="17">
        <f>E54</f>
        <v>11.184430326193381</v>
      </c>
      <c r="E17" s="9"/>
      <c r="F17" s="3"/>
    </row>
    <row r="18" spans="1:6" ht="13.5" thickBot="1"/>
    <row r="19" spans="1:6" ht="26.25" customHeight="1" thickBot="1">
      <c r="A19" s="37" t="s">
        <v>14</v>
      </c>
      <c r="B19" s="38" t="s">
        <v>15</v>
      </c>
      <c r="C19" s="38" t="s">
        <v>16</v>
      </c>
      <c r="D19" s="39" t="s">
        <v>17</v>
      </c>
      <c r="E19" s="39" t="s">
        <v>18</v>
      </c>
      <c r="F19" s="39" t="s">
        <v>19</v>
      </c>
    </row>
    <row r="20" spans="1:6" ht="13.5" thickBot="1">
      <c r="A20" s="46">
        <v>1</v>
      </c>
      <c r="B20" s="49">
        <v>51.302</v>
      </c>
      <c r="C20" s="49">
        <v>51.301605000000002</v>
      </c>
      <c r="D20" s="52">
        <f>C20 - B20</f>
        <v>-3.949999999974807E-4</v>
      </c>
      <c r="E20" s="53">
        <f>D20^2</f>
        <v>1.5602499999800976E-7</v>
      </c>
      <c r="F20" s="54">
        <v>0</v>
      </c>
    </row>
    <row r="21" spans="1:6" ht="13.5" thickBot="1">
      <c r="A21" s="47">
        <v>2</v>
      </c>
      <c r="B21" s="50">
        <v>47.7</v>
      </c>
      <c r="C21" s="50">
        <v>45.439224000000003</v>
      </c>
      <c r="D21" s="52">
        <f t="shared" ref="D21:D50" si="0">C21 - B21</f>
        <v>-2.2607759999999999</v>
      </c>
      <c r="E21" s="53">
        <f t="shared" ref="E21:E50" si="1">D21^2</f>
        <v>5.1111081221759997</v>
      </c>
      <c r="F21" s="54">
        <v>0</v>
      </c>
    </row>
    <row r="22" spans="1:6" ht="13.5" thickBot="1">
      <c r="A22" s="47">
        <v>3</v>
      </c>
      <c r="B22" s="50">
        <v>43.722000000000001</v>
      </c>
      <c r="C22" s="50">
        <v>40.135536000000002</v>
      </c>
      <c r="D22" s="52">
        <f t="shared" si="0"/>
        <v>-3.5864639999999994</v>
      </c>
      <c r="E22" s="53">
        <f t="shared" si="1"/>
        <v>12.862724023295996</v>
      </c>
      <c r="F22" s="54">
        <v>0</v>
      </c>
    </row>
    <row r="23" spans="1:6" ht="13.5" thickBot="1">
      <c r="A23" s="47">
        <v>4</v>
      </c>
      <c r="B23" s="50">
        <v>43.646999999999998</v>
      </c>
      <c r="C23" s="50">
        <v>36.290573000000002</v>
      </c>
      <c r="D23" s="52">
        <f t="shared" si="0"/>
        <v>-7.3564269999999965</v>
      </c>
      <c r="E23" s="53">
        <f t="shared" si="1"/>
        <v>54.11701820632895</v>
      </c>
      <c r="F23" s="54">
        <v>0</v>
      </c>
    </row>
    <row r="24" spans="1:6" ht="13.5" thickBot="1">
      <c r="A24" s="47">
        <v>5</v>
      </c>
      <c r="B24" s="50">
        <v>49.512999999999998</v>
      </c>
      <c r="C24" s="50">
        <v>37.512222000000001</v>
      </c>
      <c r="D24" s="52">
        <f t="shared" si="0"/>
        <v>-12.000777999999997</v>
      </c>
      <c r="E24" s="53">
        <f t="shared" si="1"/>
        <v>144.01867260528391</v>
      </c>
      <c r="F24" s="54">
        <v>0</v>
      </c>
    </row>
    <row r="25" spans="1:6" ht="13.5" thickBot="1">
      <c r="A25" s="47">
        <v>6</v>
      </c>
      <c r="B25" s="50">
        <v>45.686999999999998</v>
      </c>
      <c r="C25" s="50">
        <v>41.030537000000002</v>
      </c>
      <c r="D25" s="52">
        <f t="shared" si="0"/>
        <v>-4.6564629999999951</v>
      </c>
      <c r="E25" s="53">
        <f t="shared" si="1"/>
        <v>21.682647670368954</v>
      </c>
      <c r="F25" s="54">
        <v>0</v>
      </c>
    </row>
    <row r="26" spans="1:6" ht="13.5" thickBot="1">
      <c r="A26" s="47">
        <v>7</v>
      </c>
      <c r="B26" s="50">
        <v>42.889000000000003</v>
      </c>
      <c r="C26" s="50">
        <v>46.091907999999997</v>
      </c>
      <c r="D26" s="52">
        <f t="shared" si="0"/>
        <v>3.2029079999999936</v>
      </c>
      <c r="E26" s="53">
        <f t="shared" si="1"/>
        <v>10.25861965646396</v>
      </c>
      <c r="F26" s="54">
        <v>0</v>
      </c>
    </row>
    <row r="27" spans="1:6" ht="13.5" thickBot="1">
      <c r="A27" s="47">
        <v>8</v>
      </c>
      <c r="B27" s="50">
        <v>39.122</v>
      </c>
      <c r="C27" s="50">
        <v>34.855899999999998</v>
      </c>
      <c r="D27" s="52">
        <f t="shared" si="0"/>
        <v>-4.2661000000000016</v>
      </c>
      <c r="E27" s="53">
        <f t="shared" si="1"/>
        <v>18.199609210000013</v>
      </c>
      <c r="F27" s="54">
        <v>0</v>
      </c>
    </row>
    <row r="28" spans="1:6" ht="13.5" thickBot="1">
      <c r="A28" s="47">
        <v>9</v>
      </c>
      <c r="B28" s="50">
        <v>36.418999999999997</v>
      </c>
      <c r="C28" s="50">
        <v>36.682578999999997</v>
      </c>
      <c r="D28" s="52">
        <f t="shared" si="0"/>
        <v>0.26357900000000001</v>
      </c>
      <c r="E28" s="53">
        <f t="shared" si="1"/>
        <v>6.9473889241000009E-2</v>
      </c>
      <c r="F28" s="54">
        <v>0</v>
      </c>
    </row>
    <row r="29" spans="1:6" ht="13.5" thickBot="1">
      <c r="A29" s="47">
        <v>10</v>
      </c>
      <c r="B29" s="50">
        <v>46.985999999999997</v>
      </c>
      <c r="C29" s="50">
        <v>39.001719999999999</v>
      </c>
      <c r="D29" s="52">
        <f t="shared" si="0"/>
        <v>-7.9842799999999983</v>
      </c>
      <c r="E29" s="53">
        <f t="shared" si="1"/>
        <v>63.74872711839997</v>
      </c>
      <c r="F29" s="54">
        <v>0</v>
      </c>
    </row>
    <row r="30" spans="1:6" ht="13.5" thickBot="1">
      <c r="A30" s="47">
        <v>11</v>
      </c>
      <c r="B30" s="50">
        <v>44.79</v>
      </c>
      <c r="C30" s="50">
        <v>42.413223000000002</v>
      </c>
      <c r="D30" s="52">
        <f t="shared" si="0"/>
        <v>-2.376776999999997</v>
      </c>
      <c r="E30" s="53">
        <f t="shared" si="1"/>
        <v>5.649068907728986</v>
      </c>
      <c r="F30" s="54">
        <v>0</v>
      </c>
    </row>
    <row r="31" spans="1:6" ht="13.5" thickBot="1">
      <c r="A31" s="47">
        <v>12</v>
      </c>
      <c r="B31" s="50">
        <v>41.646999999999998</v>
      </c>
      <c r="C31" s="50">
        <v>50.803466999999998</v>
      </c>
      <c r="D31" s="52">
        <f t="shared" si="0"/>
        <v>9.1564669999999992</v>
      </c>
      <c r="E31" s="53">
        <f t="shared" si="1"/>
        <v>83.840887922088982</v>
      </c>
      <c r="F31" s="54">
        <v>0</v>
      </c>
    </row>
    <row r="32" spans="1:6" ht="13.5" thickBot="1">
      <c r="A32" s="47">
        <v>13</v>
      </c>
      <c r="B32" s="50">
        <v>44.238999999999997</v>
      </c>
      <c r="C32" s="50">
        <v>48.794716000000001</v>
      </c>
      <c r="D32" s="52">
        <f t="shared" si="0"/>
        <v>4.5557160000000039</v>
      </c>
      <c r="E32" s="53">
        <f t="shared" si="1"/>
        <v>20.754548272656034</v>
      </c>
      <c r="F32" s="54">
        <v>0</v>
      </c>
    </row>
    <row r="33" spans="1:6" ht="13.5" thickBot="1">
      <c r="A33" s="47">
        <v>14</v>
      </c>
      <c r="B33" s="50">
        <v>34.134999999999998</v>
      </c>
      <c r="C33" s="50">
        <v>31.555409999999998</v>
      </c>
      <c r="D33" s="52">
        <f t="shared" si="0"/>
        <v>-2.5795899999999996</v>
      </c>
      <c r="E33" s="53">
        <f t="shared" si="1"/>
        <v>6.6542845680999978</v>
      </c>
      <c r="F33" s="54">
        <v>0</v>
      </c>
    </row>
    <row r="34" spans="1:6" ht="13.5" thickBot="1">
      <c r="A34" s="47">
        <v>15</v>
      </c>
      <c r="B34" s="50">
        <v>41.554000000000002</v>
      </c>
      <c r="C34" s="50">
        <v>33.489811000000003</v>
      </c>
      <c r="D34" s="52">
        <f t="shared" si="0"/>
        <v>-8.0641889999999989</v>
      </c>
      <c r="E34" s="53">
        <f t="shared" si="1"/>
        <v>65.031144227720986</v>
      </c>
      <c r="F34" s="54">
        <v>0</v>
      </c>
    </row>
    <row r="35" spans="1:6" ht="13.5" thickBot="1">
      <c r="A35" s="47">
        <v>16</v>
      </c>
      <c r="B35" s="50">
        <v>48.911000000000001</v>
      </c>
      <c r="C35" s="50">
        <v>38.260185</v>
      </c>
      <c r="D35" s="52">
        <f t="shared" si="0"/>
        <v>-10.650815000000001</v>
      </c>
      <c r="E35" s="53">
        <f t="shared" si="1"/>
        <v>113.43986016422504</v>
      </c>
      <c r="F35" s="54">
        <v>0</v>
      </c>
    </row>
    <row r="36" spans="1:6" ht="13.5" thickBot="1">
      <c r="A36" s="55">
        <v>17</v>
      </c>
      <c r="B36" s="56">
        <v>53.786999999999999</v>
      </c>
      <c r="C36" s="56">
        <v>41.498443999999999</v>
      </c>
      <c r="D36" s="57">
        <f t="shared" si="0"/>
        <v>-12.288556</v>
      </c>
      <c r="E36" s="58">
        <f t="shared" si="1"/>
        <v>151.008608565136</v>
      </c>
      <c r="F36" s="54">
        <v>1</v>
      </c>
    </row>
    <row r="37" spans="1:6" ht="13.5" thickBot="1">
      <c r="A37" s="47">
        <v>18</v>
      </c>
      <c r="B37" s="50">
        <v>51.212000000000003</v>
      </c>
      <c r="C37" s="50">
        <v>43.852558000000002</v>
      </c>
      <c r="D37" s="52">
        <f t="shared" si="0"/>
        <v>-7.3594420000000014</v>
      </c>
      <c r="E37" s="53">
        <f t="shared" si="1"/>
        <v>54.161386551364018</v>
      </c>
      <c r="F37" s="54">
        <v>0</v>
      </c>
    </row>
    <row r="38" spans="1:6" ht="13.5" thickBot="1">
      <c r="A38" s="47">
        <v>19</v>
      </c>
      <c r="B38" s="50">
        <v>53.139000000000003</v>
      </c>
      <c r="C38" s="50">
        <v>47.906207999999999</v>
      </c>
      <c r="D38" s="52">
        <f t="shared" si="0"/>
        <v>-5.2327920000000034</v>
      </c>
      <c r="E38" s="53">
        <f t="shared" si="1"/>
        <v>27.382112115264036</v>
      </c>
      <c r="F38" s="54">
        <v>0</v>
      </c>
    </row>
    <row r="39" spans="1:6" ht="13.5" thickBot="1">
      <c r="A39" s="47">
        <v>20</v>
      </c>
      <c r="B39" s="50">
        <v>47.734999999999999</v>
      </c>
      <c r="C39" s="50">
        <v>47.170490000000001</v>
      </c>
      <c r="D39" s="52">
        <f t="shared" si="0"/>
        <v>-0.56450999999999851</v>
      </c>
      <c r="E39" s="53">
        <f t="shared" si="1"/>
        <v>0.31867154009999832</v>
      </c>
      <c r="F39" s="54">
        <v>0</v>
      </c>
    </row>
    <row r="40" spans="1:6" ht="13.5" thickBot="1">
      <c r="A40" s="47">
        <v>21</v>
      </c>
      <c r="B40" s="50">
        <v>56.585999999999999</v>
      </c>
      <c r="C40" s="50">
        <v>50.523724000000001</v>
      </c>
      <c r="D40" s="52">
        <f t="shared" si="0"/>
        <v>-6.0622759999999971</v>
      </c>
      <c r="E40" s="53">
        <f t="shared" si="1"/>
        <v>36.751190300175963</v>
      </c>
      <c r="F40" s="54">
        <v>0</v>
      </c>
    </row>
    <row r="41" spans="1:6" ht="13.5" thickBot="1">
      <c r="A41" s="47">
        <v>22</v>
      </c>
      <c r="B41" s="50">
        <v>56.360999999999997</v>
      </c>
      <c r="C41" s="50">
        <v>52.371174000000003</v>
      </c>
      <c r="D41" s="52">
        <f t="shared" si="0"/>
        <v>-3.9898259999999937</v>
      </c>
      <c r="E41" s="53">
        <f t="shared" si="1"/>
        <v>15.91871151027595</v>
      </c>
      <c r="F41" s="54">
        <v>0</v>
      </c>
    </row>
    <row r="42" spans="1:6" ht="13.5" thickBot="1">
      <c r="A42" s="47">
        <v>23</v>
      </c>
      <c r="B42" s="50">
        <v>50.505000000000003</v>
      </c>
      <c r="C42" s="50">
        <v>51.876747000000002</v>
      </c>
      <c r="D42" s="52">
        <f t="shared" si="0"/>
        <v>1.3717469999999992</v>
      </c>
      <c r="E42" s="53">
        <f t="shared" si="1"/>
        <v>1.8816898320089976</v>
      </c>
      <c r="F42" s="54">
        <v>0</v>
      </c>
    </row>
    <row r="43" spans="1:6" ht="13.5" thickBot="1">
      <c r="A43" s="47">
        <v>24</v>
      </c>
      <c r="B43" s="50">
        <v>46.348999999999997</v>
      </c>
      <c r="C43" s="50">
        <v>45.431888999999998</v>
      </c>
      <c r="D43" s="52">
        <f t="shared" si="0"/>
        <v>-0.91711099999999846</v>
      </c>
      <c r="E43" s="53">
        <f t="shared" si="1"/>
        <v>0.84109258632099715</v>
      </c>
      <c r="F43" s="54">
        <v>0</v>
      </c>
    </row>
    <row r="44" spans="1:6" ht="13.5" thickBot="1">
      <c r="A44" s="47">
        <v>25</v>
      </c>
      <c r="B44" s="50">
        <v>50.841999999999999</v>
      </c>
      <c r="C44" s="50">
        <v>41.848877000000002</v>
      </c>
      <c r="D44" s="52">
        <f t="shared" si="0"/>
        <v>-8.9931229999999971</v>
      </c>
      <c r="E44" s="53">
        <f t="shared" si="1"/>
        <v>80.876261293128948</v>
      </c>
      <c r="F44" s="54">
        <v>0</v>
      </c>
    </row>
    <row r="45" spans="1:6" ht="13.5" thickBot="1">
      <c r="A45" s="47">
        <v>26</v>
      </c>
      <c r="B45" s="50">
        <v>48.42</v>
      </c>
      <c r="C45" s="50">
        <v>42.462333999999998</v>
      </c>
      <c r="D45" s="52">
        <f t="shared" si="0"/>
        <v>-5.9576660000000032</v>
      </c>
      <c r="E45" s="53">
        <f t="shared" si="1"/>
        <v>35.493784167556036</v>
      </c>
      <c r="F45" s="54">
        <v>0</v>
      </c>
    </row>
    <row r="46" spans="1:6" ht="13.5" thickBot="1">
      <c r="A46" s="47">
        <v>27</v>
      </c>
      <c r="B46" s="50">
        <v>45.392000000000003</v>
      </c>
      <c r="C46" s="50">
        <v>46.327537999999997</v>
      </c>
      <c r="D46" s="52">
        <f t="shared" si="0"/>
        <v>0.93553799999999399</v>
      </c>
      <c r="E46" s="53">
        <f t="shared" si="1"/>
        <v>0.87523134944398873</v>
      </c>
      <c r="F46" s="54">
        <v>0</v>
      </c>
    </row>
    <row r="47" spans="1:6" ht="13.5" thickBot="1">
      <c r="A47" s="55">
        <v>28</v>
      </c>
      <c r="B47" s="56">
        <v>36.978999999999999</v>
      </c>
      <c r="C47" s="56">
        <v>55.280155000000001</v>
      </c>
      <c r="D47" s="57">
        <f t="shared" si="0"/>
        <v>18.301155000000001</v>
      </c>
      <c r="E47" s="58">
        <f t="shared" si="1"/>
        <v>334.93227433402507</v>
      </c>
      <c r="F47" s="54">
        <v>1</v>
      </c>
    </row>
    <row r="48" spans="1:6" ht="13.5" thickBot="1">
      <c r="A48" s="55">
        <v>29</v>
      </c>
      <c r="B48" s="56">
        <v>30.966999999999999</v>
      </c>
      <c r="C48" s="56">
        <v>55.982872</v>
      </c>
      <c r="D48" s="57">
        <f t="shared" si="0"/>
        <v>25.015872000000002</v>
      </c>
      <c r="E48" s="58">
        <f t="shared" si="1"/>
        <v>625.7938519203841</v>
      </c>
      <c r="F48" s="54">
        <v>1</v>
      </c>
    </row>
    <row r="49" spans="1:6" ht="13.5" thickBot="1">
      <c r="A49" s="47">
        <v>30</v>
      </c>
      <c r="B49" s="50">
        <v>42.445999999999998</v>
      </c>
      <c r="C49" s="50">
        <v>47.838692000000002</v>
      </c>
      <c r="D49" s="52">
        <f t="shared" si="0"/>
        <v>5.3926920000000038</v>
      </c>
      <c r="E49" s="53">
        <f t="shared" si="1"/>
        <v>29.08112700686404</v>
      </c>
      <c r="F49" s="54">
        <v>0</v>
      </c>
    </row>
    <row r="50" spans="1:6" ht="13.5" thickBot="1">
      <c r="A50" s="48">
        <v>31</v>
      </c>
      <c r="B50" s="51">
        <v>51.395000000000003</v>
      </c>
      <c r="C50" s="51">
        <v>49.743988000000002</v>
      </c>
      <c r="D50" s="52">
        <f t="shared" si="0"/>
        <v>-1.6510120000000015</v>
      </c>
      <c r="E50" s="53">
        <f t="shared" si="1"/>
        <v>2.7258406241440047</v>
      </c>
      <c r="F50" s="54">
        <v>0</v>
      </c>
    </row>
    <row r="51" spans="1:6">
      <c r="A51" s="7"/>
      <c r="B51" s="18"/>
      <c r="C51" s="19"/>
      <c r="D51" s="40" t="s">
        <v>20</v>
      </c>
      <c r="E51" s="41">
        <f>SUM(E20:E35,E37:E46,E49:E50)</f>
        <v>911.74549359675063</v>
      </c>
      <c r="F51" s="20"/>
    </row>
    <row r="52" spans="1:6">
      <c r="A52" s="7"/>
      <c r="B52" s="18"/>
      <c r="C52" s="19"/>
      <c r="D52" s="11" t="s">
        <v>21</v>
      </c>
      <c r="E52" s="21">
        <f>AVERAGEIF(F20:F50,0,E20:E50)</f>
        <v>32.562339057026811</v>
      </c>
      <c r="F52" s="20"/>
    </row>
    <row r="53" spans="1:6" ht="13.5" thickBot="1">
      <c r="A53" s="7"/>
      <c r="B53" s="18"/>
      <c r="C53" s="19"/>
      <c r="D53" s="12" t="s">
        <v>12</v>
      </c>
      <c r="E53" s="22">
        <f>SQRT(AVERAGEIF(F20:F50,0,E20:E50))</f>
        <v>5.7063420031598886</v>
      </c>
      <c r="F53" s="20"/>
    </row>
    <row r="54" spans="1:6" ht="13.5" thickBot="1">
      <c r="A54" s="7"/>
      <c r="B54" s="18"/>
      <c r="C54" s="19"/>
      <c r="D54" s="23" t="s">
        <v>13</v>
      </c>
      <c r="E54" s="24">
        <f>E53*1.96</f>
        <v>11.184430326193381</v>
      </c>
      <c r="F54" s="25"/>
    </row>
    <row r="55" spans="1:6" ht="13.5" thickBot="1">
      <c r="A55" s="7"/>
      <c r="B55" s="18"/>
      <c r="C55" s="19"/>
      <c r="D55" s="20"/>
      <c r="E55" s="26"/>
      <c r="F55" s="27"/>
    </row>
    <row r="56" spans="1:6" ht="39" thickBot="1">
      <c r="A56" s="28" t="s">
        <v>22</v>
      </c>
      <c r="B56" s="29"/>
      <c r="C56" s="19"/>
      <c r="D56" s="20"/>
      <c r="E56" s="30"/>
      <c r="F56" s="27"/>
    </row>
    <row r="57" spans="1:6" ht="13.5" thickBot="1">
      <c r="A57" s="31">
        <f>COUNT(A20:A50)</f>
        <v>31</v>
      </c>
      <c r="B57" s="18"/>
      <c r="C57" s="19"/>
      <c r="D57" s="20"/>
      <c r="E57" s="7"/>
      <c r="F57" s="7"/>
    </row>
    <row r="58" spans="1:6">
      <c r="A58" s="7"/>
      <c r="B58" s="18"/>
      <c r="C58" s="19"/>
      <c r="D58" s="32" t="s">
        <v>23</v>
      </c>
      <c r="E58" s="33"/>
      <c r="F58" s="34">
        <f>COUNTIF(F20:F50,1)</f>
        <v>3</v>
      </c>
    </row>
    <row r="59" spans="1:6" ht="13.5" thickBot="1">
      <c r="A59" s="7"/>
      <c r="B59" s="18"/>
      <c r="C59" s="19"/>
      <c r="D59" s="12" t="s">
        <v>24</v>
      </c>
      <c r="E59" s="35"/>
      <c r="F59" s="36">
        <f>(F58/A57)</f>
        <v>9.6774193548387094E-2</v>
      </c>
    </row>
    <row r="60" spans="1:6">
      <c r="C60" s="3"/>
    </row>
    <row r="61" spans="1:6">
      <c r="C61" s="3"/>
    </row>
    <row r="62" spans="1:6">
      <c r="C62" s="3"/>
    </row>
    <row r="63" spans="1:6">
      <c r="C63" s="3"/>
    </row>
    <row r="64" spans="1:6">
      <c r="C64" s="3"/>
    </row>
    <row r="65" spans="3:3">
      <c r="C65" s="3"/>
    </row>
    <row r="66" spans="3:3">
      <c r="C66" s="3"/>
    </row>
    <row r="67" spans="3:3">
      <c r="C67" s="3"/>
    </row>
  </sheetData>
  <phoneticPr fontId="0" type="noConversion"/>
  <pageMargins left="0.75" right="0.75" top="0.5" bottom="1" header="0.5" footer="0.5"/>
  <pageSetup orientation="portrait" r:id="rId1"/>
  <headerFooter alignWithMargins="0"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anaud</dc:creator>
  <cp:keywords/>
  <dc:description/>
  <cp:lastModifiedBy>X</cp:lastModifiedBy>
  <cp:revision/>
  <dcterms:created xsi:type="dcterms:W3CDTF">2008-09-04T17:22:42Z</dcterms:created>
  <dcterms:modified xsi:type="dcterms:W3CDTF">2026-04-01T08:46:56Z</dcterms:modified>
  <cp:category/>
  <cp:contentStatus/>
</cp:coreProperties>
</file>