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D:\working\waccache\MI2PEPF0000028E\EXCELCNV\4e2983a3-32c8-440d-8e7c-711b35c43548\"/>
    </mc:Choice>
  </mc:AlternateContent>
  <xr:revisionPtr revIDLastSave="0" documentId="8_{2C77E1B3-A9B0-4B7C-B61A-DA1C69ACF497}" xr6:coauthVersionLast="47" xr6:coauthVersionMax="47" xr10:uidLastSave="{00000000-0000-0000-0000-000000000000}"/>
  <bookViews>
    <workbookView xWindow="-60" yWindow="-60" windowWidth="15480" windowHeight="11640" xr2:uid="{3559E75C-8461-4745-9086-7B6458D698B1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6" i="1" l="1"/>
  <c r="L67" i="1"/>
  <c r="L68" i="1"/>
  <c r="L65" i="1"/>
  <c r="A70" i="1"/>
  <c r="E11" i="1"/>
  <c r="N72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D53" i="2"/>
  <c r="E53" i="2"/>
  <c r="D49" i="2"/>
  <c r="F49" i="2"/>
  <c r="E49" i="2"/>
  <c r="D45" i="2"/>
  <c r="E45" i="2"/>
  <c r="D46" i="2"/>
  <c r="F46" i="2"/>
  <c r="D41" i="2"/>
  <c r="E41" i="2"/>
  <c r="D42" i="2"/>
  <c r="E42" i="2"/>
  <c r="D43" i="2"/>
  <c r="E43" i="2"/>
  <c r="D39" i="2"/>
  <c r="E39" i="2"/>
  <c r="D35" i="2"/>
  <c r="E35" i="2"/>
  <c r="D30" i="2"/>
  <c r="E30" i="2"/>
  <c r="D31" i="2"/>
  <c r="E31" i="2"/>
  <c r="D25" i="2"/>
  <c r="F25" i="2"/>
  <c r="D26" i="2"/>
  <c r="E26" i="2"/>
  <c r="D20" i="2"/>
  <c r="E20" i="2"/>
  <c r="D17" i="2"/>
  <c r="E17" i="2"/>
  <c r="D15" i="2"/>
  <c r="F15" i="2"/>
  <c r="D12" i="2"/>
  <c r="E12" i="2"/>
  <c r="D8" i="2"/>
  <c r="F8" i="2"/>
  <c r="E8" i="2"/>
  <c r="F12" i="2"/>
  <c r="F17" i="2"/>
  <c r="F20" i="2"/>
  <c r="F30" i="2"/>
  <c r="F31" i="2"/>
  <c r="F35" i="2"/>
  <c r="F39" i="2"/>
  <c r="F42" i="2"/>
  <c r="F43" i="2"/>
  <c r="F45" i="2"/>
  <c r="F53" i="2"/>
  <c r="D7" i="2"/>
  <c r="E7" i="2"/>
  <c r="D9" i="2"/>
  <c r="E9" i="2"/>
  <c r="D10" i="2"/>
  <c r="E10" i="2"/>
  <c r="D11" i="2"/>
  <c r="E11" i="2"/>
  <c r="D13" i="2"/>
  <c r="E13" i="2"/>
  <c r="D14" i="2"/>
  <c r="E14" i="2"/>
  <c r="D16" i="2"/>
  <c r="E16" i="2"/>
  <c r="D18" i="2"/>
  <c r="E18" i="2"/>
  <c r="D19" i="2"/>
  <c r="E19" i="2"/>
  <c r="D21" i="2"/>
  <c r="E21" i="2"/>
  <c r="D22" i="2"/>
  <c r="E22" i="2"/>
  <c r="D23" i="2"/>
  <c r="E23" i="2"/>
  <c r="D24" i="2"/>
  <c r="E24" i="2"/>
  <c r="D27" i="2"/>
  <c r="E27" i="2"/>
  <c r="D28" i="2"/>
  <c r="E28" i="2"/>
  <c r="D29" i="2"/>
  <c r="E29" i="2"/>
  <c r="D32" i="2"/>
  <c r="E32" i="2"/>
  <c r="D33" i="2"/>
  <c r="E33" i="2"/>
  <c r="D34" i="2"/>
  <c r="E34" i="2"/>
  <c r="D36" i="2"/>
  <c r="E36" i="2"/>
  <c r="D37" i="2"/>
  <c r="E37" i="2"/>
  <c r="D38" i="2"/>
  <c r="E38" i="2"/>
  <c r="D40" i="2"/>
  <c r="E40" i="2"/>
  <c r="D44" i="2"/>
  <c r="E44" i="2"/>
  <c r="D47" i="2"/>
  <c r="E47" i="2"/>
  <c r="D48" i="2"/>
  <c r="E48" i="2"/>
  <c r="D50" i="2"/>
  <c r="E50" i="2"/>
  <c r="D51" i="2"/>
  <c r="E51" i="2"/>
  <c r="D52" i="2"/>
  <c r="E52" i="2"/>
  <c r="D54" i="2"/>
  <c r="E54" i="2"/>
  <c r="D55" i="2"/>
  <c r="E55" i="2"/>
  <c r="D56" i="2"/>
  <c r="E56" i="2"/>
  <c r="A58" i="2"/>
  <c r="F41" i="2"/>
  <c r="E15" i="2"/>
  <c r="E58" i="2"/>
  <c r="E59" i="2"/>
  <c r="E60" i="2"/>
  <c r="E25" i="2"/>
  <c r="E46" i="2"/>
  <c r="F26" i="2"/>
  <c r="F60" i="2"/>
  <c r="G60" i="2"/>
  <c r="E57" i="2"/>
</calcChain>
</file>

<file path=xl/sharedStrings.xml><?xml version="1.0" encoding="utf-8"?>
<sst xmlns="http://schemas.openxmlformats.org/spreadsheetml/2006/main" count="89" uniqueCount="85">
  <si>
    <t>Absolute Position Accuracy Test</t>
  </si>
  <si>
    <t>Location:</t>
  </si>
  <si>
    <t>Balzan, Malta</t>
  </si>
  <si>
    <t>Area of interest:</t>
  </si>
  <si>
    <t>Minimum X</t>
  </si>
  <si>
    <t>Maximum X</t>
  </si>
  <si>
    <t>Minimum Y</t>
  </si>
  <si>
    <t>Maximum Y</t>
  </si>
  <si>
    <t>Summary of results:</t>
  </si>
  <si>
    <t>No. of Points in sample</t>
  </si>
  <si>
    <t>Rejection Level</t>
  </si>
  <si>
    <t>No. of Points discarded</t>
  </si>
  <si>
    <t>% of Points discarded</t>
  </si>
  <si>
    <t>RMSE</t>
  </si>
  <si>
    <t>Accuracy</t>
  </si>
  <si>
    <t>Statistics</t>
  </si>
  <si>
    <t>Minimum</t>
  </si>
  <si>
    <t>Maximum</t>
  </si>
  <si>
    <t>Mean</t>
  </si>
  <si>
    <t>Median</t>
  </si>
  <si>
    <t>Standard Deviation</t>
  </si>
  <si>
    <t>Point Number</t>
  </si>
  <si>
    <t>Point Description</t>
  </si>
  <si>
    <t>X       Map_Points  INDEPENDENT</t>
  </si>
  <si>
    <t>X      Map_Points TEST</t>
  </si>
  <si>
    <t>Diff. in X</t>
  </si>
  <si>
    <r>
      <t>(Diff. in X)</t>
    </r>
    <r>
      <rPr>
        <b/>
        <vertAlign val="superscript"/>
        <sz val="10"/>
        <rFont val="Times New Roman"/>
        <family val="1"/>
      </rPr>
      <t>2</t>
    </r>
    <r>
      <rPr>
        <b/>
        <sz val="10"/>
        <rFont val="Times New Roman"/>
        <family val="1"/>
      </rPr>
      <t xml:space="preserve"> </t>
    </r>
  </si>
  <si>
    <t>Y       Map_Points  INDEPENDENT</t>
  </si>
  <si>
    <t>Y     Map_Points TEST</t>
  </si>
  <si>
    <t>Diff. in Y</t>
  </si>
  <si>
    <r>
      <t>(Diff. in Y)</t>
    </r>
    <r>
      <rPr>
        <b/>
        <vertAlign val="superscript"/>
        <sz val="10"/>
        <rFont val="Times New Roman"/>
        <family val="1"/>
      </rPr>
      <t>2</t>
    </r>
  </si>
  <si>
    <r>
      <rPr>
        <b/>
        <sz val="10"/>
        <color rgb="FFFF0000"/>
        <rFont val="Times New Roman"/>
      </rPr>
      <t>(Diff. in X)</t>
    </r>
    <r>
      <rPr>
        <b/>
        <vertAlign val="superscript"/>
        <sz val="10"/>
        <color rgb="FF000000"/>
        <rFont val="Times New Roman"/>
      </rPr>
      <t xml:space="preserve">2 </t>
    </r>
    <r>
      <rPr>
        <b/>
        <sz val="10"/>
        <color rgb="FF000000"/>
        <rFont val="Times New Roman"/>
      </rPr>
      <t>+ (Diff. in Y)</t>
    </r>
    <r>
      <rPr>
        <b/>
        <vertAlign val="superscript"/>
        <sz val="10"/>
        <color rgb="FF000000"/>
        <rFont val="Times New Roman"/>
      </rPr>
      <t>2</t>
    </r>
  </si>
  <si>
    <t>Discarded</t>
  </si>
  <si>
    <t>MAP001</t>
  </si>
  <si>
    <t>MAP002</t>
  </si>
  <si>
    <t>MAP003</t>
  </si>
  <si>
    <t>MAP004</t>
  </si>
  <si>
    <t>MAP005</t>
  </si>
  <si>
    <t>MAP006</t>
  </si>
  <si>
    <t>MAP007</t>
  </si>
  <si>
    <t>MAP008</t>
  </si>
  <si>
    <t>MAP009</t>
  </si>
  <si>
    <t>MAP010</t>
  </si>
  <si>
    <t>MAP011</t>
  </si>
  <si>
    <t>MAP012</t>
  </si>
  <si>
    <t>MAP013</t>
  </si>
  <si>
    <t>MAP014</t>
  </si>
  <si>
    <t>MAP015</t>
  </si>
  <si>
    <t>MAP016</t>
  </si>
  <si>
    <t>MAP017</t>
  </si>
  <si>
    <t>MAP018</t>
  </si>
  <si>
    <t>MAP019</t>
  </si>
  <si>
    <t>MAP020</t>
  </si>
  <si>
    <t>MAP021</t>
  </si>
  <si>
    <t>MAP022</t>
  </si>
  <si>
    <t>MAP023</t>
  </si>
  <si>
    <t>MAP024</t>
  </si>
  <si>
    <t>MAP025</t>
  </si>
  <si>
    <t>MAP026</t>
  </si>
  <si>
    <t>MAP027</t>
  </si>
  <si>
    <t>MAP028</t>
  </si>
  <si>
    <t>MAP029</t>
  </si>
  <si>
    <t>MAP030</t>
  </si>
  <si>
    <t>MAP031</t>
  </si>
  <si>
    <t>MAP032</t>
  </si>
  <si>
    <t>MAP033</t>
  </si>
  <si>
    <t>MAP034</t>
  </si>
  <si>
    <t>MAP035</t>
  </si>
  <si>
    <t>MAP036</t>
  </si>
  <si>
    <t>MAP037</t>
  </si>
  <si>
    <t>MAP038</t>
  </si>
  <si>
    <t>MAP039</t>
  </si>
  <si>
    <t>MAP040</t>
  </si>
  <si>
    <t>sum</t>
  </si>
  <si>
    <t>average</t>
  </si>
  <si>
    <t>Number of points count</t>
  </si>
  <si>
    <t>Number of points discarded</t>
  </si>
  <si>
    <t>Percentage points discarded</t>
  </si>
  <si>
    <t>Point No.</t>
  </si>
  <si>
    <t>Photog. Z</t>
  </si>
  <si>
    <t>Field Z</t>
  </si>
  <si>
    <t>Diff. In Z</t>
  </si>
  <si>
    <t>Diff in (Z)^2</t>
  </si>
  <si>
    <t>Sum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</si>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</sst>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%"/>
  </numFmts>
  <fonts count="14">
    <font>
      <sz val="10"/>
      <name val="Arial"/>
    </font>
    <font>
      <sz val="10"/>
      <name val="Times New Roman"/>
      <family val="1"/>
    </font>
    <font>
      <b/>
      <sz val="10"/>
      <color indexed="10"/>
      <name val="Times New Roman"/>
      <family val="1"/>
    </font>
    <font>
      <b/>
      <sz val="10"/>
      <name val="Times New Roman"/>
      <family val="1"/>
    </font>
    <font>
      <b/>
      <vertAlign val="superscript"/>
      <sz val="10"/>
      <name val="Times New Roman"/>
      <family val="1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9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b/>
      <sz val="10"/>
      <color rgb="FFFF0000"/>
      <name val="Times New Roman"/>
    </font>
    <font>
      <b/>
      <vertAlign val="superscript"/>
      <sz val="10"/>
      <color rgb="FF000000"/>
      <name val="Times New Roman"/>
    </font>
    <font>
      <b/>
      <sz val="10"/>
      <color rgb="FF000000"/>
      <name val="Times New Roman"/>
    </font>
    <font>
      <b/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9" xfId="0" applyNumberFormat="1" applyBorder="1"/>
    <xf numFmtId="0" fontId="0" fillId="0" borderId="10" xfId="0" applyBorder="1"/>
    <xf numFmtId="0" fontId="0" fillId="0" borderId="11" xfId="0" applyBorder="1"/>
    <xf numFmtId="164" fontId="0" fillId="0" borderId="1" xfId="0" applyNumberFormat="1" applyBorder="1"/>
    <xf numFmtId="0" fontId="0" fillId="0" borderId="12" xfId="0" applyBorder="1"/>
    <xf numFmtId="164" fontId="0" fillId="0" borderId="0" xfId="0" applyNumberFormat="1"/>
    <xf numFmtId="165" fontId="0" fillId="0" borderId="12" xfId="0" applyNumberFormat="1" applyBorder="1"/>
    <xf numFmtId="0" fontId="0" fillId="0" borderId="2" xfId="0" applyBorder="1" applyAlignment="1">
      <alignment horizontal="right"/>
    </xf>
    <xf numFmtId="164" fontId="0" fillId="0" borderId="4" xfId="0" applyNumberFormat="1" applyBorder="1"/>
    <xf numFmtId="0" fontId="0" fillId="0" borderId="11" xfId="0" applyBorder="1" applyAlignment="1">
      <alignment horizontal="right"/>
    </xf>
    <xf numFmtId="164" fontId="0" fillId="0" borderId="12" xfId="0" applyNumberFormat="1" applyBorder="1"/>
    <xf numFmtId="0" fontId="0" fillId="0" borderId="5" xfId="0" applyBorder="1" applyAlignment="1">
      <alignment horizontal="right"/>
    </xf>
    <xf numFmtId="164" fontId="0" fillId="0" borderId="7" xfId="0" applyNumberFormat="1" applyBorder="1"/>
    <xf numFmtId="164" fontId="5" fillId="0" borderId="0" xfId="0" applyNumberFormat="1" applyFont="1"/>
    <xf numFmtId="10" fontId="0" fillId="0" borderId="0" xfId="0" applyNumberFormat="1"/>
    <xf numFmtId="164" fontId="1" fillId="0" borderId="11" xfId="0" applyNumberFormat="1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1" xfId="0" applyFont="1" applyBorder="1"/>
    <xf numFmtId="0" fontId="1" fillId="0" borderId="6" xfId="0" applyFont="1" applyBorder="1"/>
    <xf numFmtId="165" fontId="1" fillId="0" borderId="6" xfId="0" applyNumberFormat="1" applyFont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0" fontId="1" fillId="0" borderId="15" xfId="0" applyFont="1" applyBorder="1"/>
    <xf numFmtId="1" fontId="1" fillId="0" borderId="16" xfId="0" applyNumberFormat="1" applyFont="1" applyBorder="1" applyAlignment="1">
      <alignment wrapText="1"/>
    </xf>
    <xf numFmtId="0" fontId="1" fillId="0" borderId="17" xfId="0" applyFont="1" applyBorder="1" applyAlignment="1">
      <alignment horizontal="center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0" fontId="1" fillId="0" borderId="0" xfId="0" applyNumberFormat="1" applyFont="1"/>
    <xf numFmtId="166" fontId="1" fillId="0" borderId="0" xfId="0" applyNumberFormat="1" applyFont="1" applyAlignment="1">
      <alignment horizontal="right"/>
    </xf>
    <xf numFmtId="0" fontId="1" fillId="0" borderId="11" xfId="0" applyFont="1" applyBorder="1" applyAlignment="1">
      <alignment horizontal="left"/>
    </xf>
    <xf numFmtId="0" fontId="1" fillId="0" borderId="5" xfId="0" applyFont="1" applyBorder="1"/>
    <xf numFmtId="10" fontId="1" fillId="0" borderId="6" xfId="0" applyNumberFormat="1" applyFont="1" applyBorder="1"/>
    <xf numFmtId="0" fontId="1" fillId="0" borderId="18" xfId="0" applyFont="1" applyBorder="1"/>
    <xf numFmtId="0" fontId="1" fillId="0" borderId="9" xfId="0" applyFont="1" applyBorder="1"/>
    <xf numFmtId="0" fontId="1" fillId="0" borderId="2" xfId="0" applyFont="1" applyBorder="1"/>
    <xf numFmtId="0" fontId="1" fillId="0" borderId="11" xfId="0" applyFont="1" applyBorder="1"/>
    <xf numFmtId="0" fontId="3" fillId="0" borderId="0" xfId="0" applyFont="1" applyAlignment="1">
      <alignment horizontal="right"/>
    </xf>
    <xf numFmtId="0" fontId="1" fillId="0" borderId="13" xfId="0" applyFont="1" applyBorder="1"/>
    <xf numFmtId="164" fontId="3" fillId="0" borderId="18" xfId="0" applyNumberFormat="1" applyFont="1" applyBorder="1" applyAlignment="1">
      <alignment horizontal="right"/>
    </xf>
    <xf numFmtId="0" fontId="1" fillId="0" borderId="20" xfId="0" applyFont="1" applyBorder="1"/>
    <xf numFmtId="164" fontId="3" fillId="0" borderId="21" xfId="0" applyNumberFormat="1" applyFont="1" applyBorder="1" applyAlignment="1">
      <alignment horizontal="right"/>
    </xf>
    <xf numFmtId="0" fontId="1" fillId="0" borderId="22" xfId="0" applyFont="1" applyBorder="1"/>
    <xf numFmtId="164" fontId="3" fillId="0" borderId="23" xfId="0" applyNumberFormat="1" applyFont="1" applyBorder="1" applyAlignment="1">
      <alignment horizontal="right"/>
    </xf>
    <xf numFmtId="0" fontId="3" fillId="0" borderId="23" xfId="0" applyFont="1" applyBorder="1" applyAlignment="1">
      <alignment horizontal="right"/>
    </xf>
    <xf numFmtId="164" fontId="3" fillId="0" borderId="24" xfId="0" applyNumberFormat="1" applyFont="1" applyBorder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1" fillId="0" borderId="25" xfId="0" applyFont="1" applyBorder="1"/>
    <xf numFmtId="0" fontId="1" fillId="0" borderId="26" xfId="0" applyFont="1" applyBorder="1"/>
    <xf numFmtId="0" fontId="2" fillId="0" borderId="2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164" fontId="1" fillId="0" borderId="12" xfId="0" applyNumberFormat="1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10" fontId="1" fillId="0" borderId="0" xfId="0" applyNumberFormat="1" applyFont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66" fontId="1" fillId="0" borderId="7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164" fontId="1" fillId="0" borderId="16" xfId="0" applyNumberFormat="1" applyFont="1" applyBorder="1" applyAlignment="1">
      <alignment horizontal="center"/>
    </xf>
    <xf numFmtId="164" fontId="1" fillId="0" borderId="28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165" fontId="1" fillId="0" borderId="4" xfId="0" applyNumberFormat="1" applyFont="1" applyBorder="1" applyAlignment="1">
      <alignment horizontal="center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164" fontId="3" fillId="0" borderId="29" xfId="0" applyNumberFormat="1" applyFont="1" applyBorder="1" applyAlignment="1">
      <alignment horizontal="center" vertical="center" wrapText="1"/>
    </xf>
    <xf numFmtId="0" fontId="6" fillId="0" borderId="3" xfId="0" applyFont="1" applyBorder="1"/>
    <xf numFmtId="0" fontId="6" fillId="0" borderId="1" xfId="0" applyFont="1" applyBorder="1"/>
    <xf numFmtId="0" fontId="3" fillId="0" borderId="32" xfId="0" applyFont="1" applyBorder="1" applyAlignment="1">
      <alignment horizontal="center" vertical="center"/>
    </xf>
    <xf numFmtId="0" fontId="6" fillId="0" borderId="9" xfId="0" applyFont="1" applyBorder="1"/>
    <xf numFmtId="0" fontId="6" fillId="0" borderId="33" xfId="0" applyFont="1" applyBorder="1"/>
    <xf numFmtId="0" fontId="1" fillId="0" borderId="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164" fontId="7" fillId="0" borderId="29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1" fontId="1" fillId="0" borderId="4" xfId="0" applyNumberFormat="1" applyFon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1" fontId="1" fillId="0" borderId="12" xfId="0" applyNumberFormat="1" applyFont="1" applyBorder="1" applyAlignment="1">
      <alignment horizontal="center"/>
    </xf>
    <xf numFmtId="166" fontId="1" fillId="0" borderId="12" xfId="0" applyNumberFormat="1" applyFont="1" applyBorder="1" applyAlignment="1">
      <alignment horizontal="center"/>
    </xf>
    <xf numFmtId="164" fontId="1" fillId="0" borderId="12" xfId="0" applyNumberFormat="1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6" fillId="2" borderId="1" xfId="0" applyFont="1" applyFill="1" applyBorder="1"/>
    <xf numFmtId="0" fontId="8" fillId="2" borderId="0" xfId="0" applyFont="1" applyFill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4" fontId="1" fillId="2" borderId="28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3" fillId="0" borderId="31" xfId="0" applyFont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</cellXfs>
  <cellStyles count="1">
    <cellStyle name="Normale" xfId="0" builtinId="0"/>
  </cellStyles>
  <dxfs count="1"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8BEA-7CB2-4DAF-BAC2-925DBB3A6842}">
  <dimension ref="A1:O72"/>
  <sheetViews>
    <sheetView tabSelected="1" topLeftCell="A5" workbookViewId="0">
      <selection activeCell="L14" sqref="L14"/>
    </sheetView>
  </sheetViews>
  <sheetFormatPr defaultColWidth="9.28515625" defaultRowHeight="12.75"/>
  <cols>
    <col min="1" max="1" width="9.28515625" style="3"/>
    <col min="2" max="2" width="10.7109375" style="3" customWidth="1"/>
    <col min="3" max="3" width="12.7109375" style="3" customWidth="1"/>
    <col min="4" max="4" width="12.7109375" style="2" customWidth="1"/>
    <col min="5" max="5" width="9.28515625" style="2" bestFit="1" customWidth="1"/>
    <col min="6" max="6" width="12.7109375" style="2" customWidth="1"/>
    <col min="7" max="7" width="1.7109375" style="2" customWidth="1"/>
    <col min="8" max="8" width="12.7109375" style="3" customWidth="1"/>
    <col min="9" max="9" width="12.7109375" style="2" customWidth="1"/>
    <col min="10" max="10" width="10.28515625" style="2" bestFit="1" customWidth="1"/>
    <col min="11" max="12" width="10.7109375" style="2" customWidth="1"/>
    <col min="13" max="13" width="1.7109375" style="2" customWidth="1"/>
    <col min="14" max="14" width="9.28515625" style="3" customWidth="1"/>
    <col min="15" max="16384" width="9.28515625" style="2"/>
  </cols>
  <sheetData>
    <row r="1" spans="1:12">
      <c r="B1" s="9"/>
      <c r="D1" s="3"/>
      <c r="E1" s="9"/>
    </row>
    <row r="2" spans="1:12">
      <c r="A2" s="8" t="s">
        <v>0</v>
      </c>
      <c r="B2" s="9"/>
      <c r="C2" s="8"/>
      <c r="D2" s="9"/>
      <c r="E2" s="9"/>
    </row>
    <row r="3" spans="1:12">
      <c r="B3" s="9"/>
      <c r="D3" s="3"/>
      <c r="E3" s="9"/>
    </row>
    <row r="4" spans="1:12">
      <c r="A4" s="8" t="s">
        <v>1</v>
      </c>
      <c r="B4" s="9"/>
      <c r="C4" s="9" t="s">
        <v>2</v>
      </c>
      <c r="D4" s="3"/>
      <c r="E4" s="8"/>
    </row>
    <row r="5" spans="1:12" ht="13.5" thickBot="1">
      <c r="A5" s="8"/>
      <c r="B5" s="8"/>
    </row>
    <row r="6" spans="1:12">
      <c r="A6" s="8" t="s">
        <v>3</v>
      </c>
      <c r="B6" s="8"/>
      <c r="C6" s="52" t="s">
        <v>4</v>
      </c>
      <c r="D6" s="75">
        <v>450324</v>
      </c>
    </row>
    <row r="7" spans="1:12">
      <c r="A7" s="8"/>
      <c r="B7" s="8"/>
      <c r="C7" s="53" t="s">
        <v>5</v>
      </c>
      <c r="D7" s="69">
        <v>450324</v>
      </c>
    </row>
    <row r="8" spans="1:12">
      <c r="A8" s="8"/>
      <c r="B8" s="8"/>
      <c r="C8" s="53" t="s">
        <v>6</v>
      </c>
      <c r="D8" s="69">
        <v>3972039.13</v>
      </c>
    </row>
    <row r="9" spans="1:12" ht="13.5" thickBot="1">
      <c r="B9" s="8"/>
      <c r="C9" s="48" t="s">
        <v>7</v>
      </c>
      <c r="D9" s="70">
        <v>3973039.13</v>
      </c>
    </row>
    <row r="10" spans="1:12" ht="13.5" thickBot="1">
      <c r="B10" s="8"/>
      <c r="C10" s="2"/>
      <c r="D10" s="54"/>
    </row>
    <row r="11" spans="1:12">
      <c r="A11" s="8" t="s">
        <v>8</v>
      </c>
      <c r="B11" s="8"/>
      <c r="C11" s="55" t="s">
        <v>9</v>
      </c>
      <c r="D11" s="56"/>
      <c r="E11" s="94">
        <f>A70</f>
        <v>40</v>
      </c>
    </row>
    <row r="12" spans="1:12">
      <c r="A12" s="8"/>
      <c r="B12" s="8"/>
      <c r="C12" s="57" t="s">
        <v>10</v>
      </c>
      <c r="D12" s="58"/>
      <c r="E12" s="95">
        <v>0.61140000000000005</v>
      </c>
    </row>
    <row r="13" spans="1:12">
      <c r="B13" s="8"/>
      <c r="C13" s="59" t="s">
        <v>11</v>
      </c>
      <c r="D13" s="60"/>
      <c r="E13" s="96">
        <v>1</v>
      </c>
    </row>
    <row r="14" spans="1:12" ht="15">
      <c r="B14" s="8"/>
      <c r="C14" s="59" t="s">
        <v>12</v>
      </c>
      <c r="D14" s="61"/>
      <c r="E14" s="97">
        <v>2.5000000000000001E-2</v>
      </c>
      <c r="L14" s="93"/>
    </row>
    <row r="15" spans="1:12" ht="15">
      <c r="B15" s="8"/>
      <c r="C15" s="59" t="s">
        <v>13</v>
      </c>
      <c r="D15" s="60"/>
      <c r="E15" s="105">
        <v>0.20384760499999999</v>
      </c>
    </row>
    <row r="16" spans="1:12" ht="15.75" thickBot="1">
      <c r="B16" s="8"/>
      <c r="C16" s="40" t="s">
        <v>14</v>
      </c>
      <c r="D16" s="62"/>
      <c r="E16" s="105">
        <v>0.35281943500000001</v>
      </c>
    </row>
    <row r="17" spans="1:14" ht="13.5" thickBot="1">
      <c r="B17" s="8"/>
      <c r="C17" s="2"/>
      <c r="D17" s="63"/>
      <c r="E17" s="6"/>
    </row>
    <row r="18" spans="1:14">
      <c r="A18" s="64" t="s">
        <v>15</v>
      </c>
      <c r="B18" s="8"/>
      <c r="C18" s="55" t="s">
        <v>16</v>
      </c>
      <c r="D18" s="56"/>
      <c r="E18" s="80">
        <v>0</v>
      </c>
    </row>
    <row r="19" spans="1:14">
      <c r="B19" s="8"/>
      <c r="C19" s="59" t="s">
        <v>17</v>
      </c>
      <c r="D19" s="60"/>
      <c r="E19" s="98">
        <v>0.245</v>
      </c>
    </row>
    <row r="20" spans="1:14">
      <c r="B20" s="8"/>
      <c r="C20" s="59" t="s">
        <v>18</v>
      </c>
      <c r="D20" s="60"/>
      <c r="E20" s="98">
        <v>4.1553846064235997E-2</v>
      </c>
    </row>
    <row r="21" spans="1:14" ht="15">
      <c r="B21" s="8"/>
      <c r="C21" s="59" t="s">
        <v>19</v>
      </c>
      <c r="D21" s="60"/>
      <c r="E21" s="105">
        <v>3.2500000000000001E-2</v>
      </c>
    </row>
    <row r="22" spans="1:14" ht="13.5" thickBot="1">
      <c r="B22" s="9"/>
      <c r="C22" s="65" t="s">
        <v>20</v>
      </c>
      <c r="D22" s="66"/>
      <c r="E22" s="3">
        <v>4.4470000000000003E-2</v>
      </c>
    </row>
    <row r="23" spans="1:14" ht="13.5" thickBot="1">
      <c r="C23" s="64"/>
      <c r="E23" s="54"/>
    </row>
    <row r="24" spans="1:14" ht="44.25">
      <c r="A24" s="82" t="s">
        <v>21</v>
      </c>
      <c r="B24" s="81" t="s">
        <v>22</v>
      </c>
      <c r="C24" s="92" t="s">
        <v>23</v>
      </c>
      <c r="D24" s="92" t="s">
        <v>24</v>
      </c>
      <c r="E24" s="81" t="s">
        <v>25</v>
      </c>
      <c r="F24" s="81" t="s">
        <v>26</v>
      </c>
      <c r="G24" s="81"/>
      <c r="H24" s="92" t="s">
        <v>27</v>
      </c>
      <c r="I24" s="83" t="s">
        <v>28</v>
      </c>
      <c r="J24" s="81" t="s">
        <v>29</v>
      </c>
      <c r="K24" s="81" t="s">
        <v>30</v>
      </c>
      <c r="L24" s="106" t="s">
        <v>31</v>
      </c>
      <c r="M24" s="1"/>
      <c r="N24" s="86" t="s">
        <v>32</v>
      </c>
    </row>
    <row r="25" spans="1:14" ht="15">
      <c r="A25" s="78">
        <v>1</v>
      </c>
      <c r="B25" s="84" t="s">
        <v>33</v>
      </c>
      <c r="C25" s="93">
        <v>450392.09840000002</v>
      </c>
      <c r="D25" s="93">
        <v>450392.19839999999</v>
      </c>
      <c r="E25" s="93">
        <v>0.1</v>
      </c>
      <c r="F25" s="93">
        <v>0.01</v>
      </c>
      <c r="G25" s="79"/>
      <c r="H25" s="93">
        <v>3972983.7289999998</v>
      </c>
      <c r="I25" s="93">
        <v>3972983.8790000002</v>
      </c>
      <c r="J25" s="93">
        <v>0.15</v>
      </c>
      <c r="K25" s="93">
        <v>2.1999999999999999E-2</v>
      </c>
      <c r="L25" s="93">
        <v>3.2000000000000001E-2</v>
      </c>
      <c r="M25" s="5"/>
      <c r="N25" s="76">
        <f>0</f>
        <v>0</v>
      </c>
    </row>
    <row r="26" spans="1:14" ht="15">
      <c r="A26" s="90">
        <v>2</v>
      </c>
      <c r="B26" s="85" t="s">
        <v>34</v>
      </c>
      <c r="C26" s="93">
        <v>450653.9743</v>
      </c>
      <c r="D26" s="93">
        <v>450653.82429999998</v>
      </c>
      <c r="E26" s="93">
        <v>-0.15</v>
      </c>
      <c r="F26" s="93">
        <v>2.1999999999999999E-2</v>
      </c>
      <c r="G26" s="4"/>
      <c r="H26" s="93">
        <v>3973016.4109999998</v>
      </c>
      <c r="I26" s="93">
        <v>3973016.5109999999</v>
      </c>
      <c r="J26" s="93">
        <v>0.1</v>
      </c>
      <c r="K26" s="93">
        <v>0.01</v>
      </c>
      <c r="L26" s="93">
        <v>3.2000000000000001E-2</v>
      </c>
      <c r="M26" s="5"/>
      <c r="N26" s="77">
        <f>0</f>
        <v>0</v>
      </c>
    </row>
    <row r="27" spans="1:14" ht="15">
      <c r="A27" s="90">
        <v>3</v>
      </c>
      <c r="B27" s="85" t="s">
        <v>35</v>
      </c>
      <c r="C27" s="93">
        <v>451048.84080000001</v>
      </c>
      <c r="D27" s="93">
        <v>451048.84080000001</v>
      </c>
      <c r="E27" s="93">
        <v>0</v>
      </c>
      <c r="F27" s="93">
        <v>0</v>
      </c>
      <c r="G27" s="4"/>
      <c r="H27" s="93">
        <v>3972998.602</v>
      </c>
      <c r="I27" s="93">
        <v>3972998.602</v>
      </c>
      <c r="J27" s="93">
        <v>0</v>
      </c>
      <c r="K27" s="93">
        <v>0</v>
      </c>
      <c r="L27" s="93">
        <v>0</v>
      </c>
      <c r="M27" s="5"/>
      <c r="N27" s="77">
        <f>0</f>
        <v>0</v>
      </c>
    </row>
    <row r="28" spans="1:14" ht="15">
      <c r="A28" s="90">
        <v>4</v>
      </c>
      <c r="B28" s="87" t="s">
        <v>36</v>
      </c>
      <c r="C28" s="93">
        <v>451234.18089999998</v>
      </c>
      <c r="D28" s="93">
        <v>451234.31089999998</v>
      </c>
      <c r="E28" s="93">
        <v>0.13</v>
      </c>
      <c r="F28" s="93">
        <v>1.6E-2</v>
      </c>
      <c r="G28" s="4"/>
      <c r="H28" s="93">
        <v>3972839.628</v>
      </c>
      <c r="I28" s="93">
        <v>3972839.628</v>
      </c>
      <c r="J28" s="93">
        <v>0</v>
      </c>
      <c r="K28" s="93">
        <v>0</v>
      </c>
      <c r="L28" s="93">
        <v>1.6E-2</v>
      </c>
      <c r="M28" s="5"/>
      <c r="N28" s="77">
        <f>0</f>
        <v>0</v>
      </c>
    </row>
    <row r="29" spans="1:14" ht="15">
      <c r="A29" s="90">
        <v>5</v>
      </c>
      <c r="B29" s="85" t="s">
        <v>37</v>
      </c>
      <c r="C29" s="93">
        <v>451094.91609999997</v>
      </c>
      <c r="D29" s="93">
        <v>451094.71610000002</v>
      </c>
      <c r="E29" s="93">
        <v>-0.2</v>
      </c>
      <c r="F29" s="93">
        <v>0.04</v>
      </c>
      <c r="G29" s="4"/>
      <c r="H29" s="93">
        <v>3972837.69</v>
      </c>
      <c r="I29" s="93">
        <v>3972837.87</v>
      </c>
      <c r="J29" s="93">
        <v>0.18</v>
      </c>
      <c r="K29" s="93">
        <v>3.2000000000000001E-2</v>
      </c>
      <c r="L29" s="93">
        <v>7.1999999999999995E-2</v>
      </c>
      <c r="M29" s="5"/>
      <c r="N29" s="77">
        <f>0</f>
        <v>0</v>
      </c>
    </row>
    <row r="30" spans="1:14" ht="15">
      <c r="A30" s="90">
        <v>6</v>
      </c>
      <c r="B30" s="85" t="s">
        <v>38</v>
      </c>
      <c r="C30" s="93">
        <v>450827.815</v>
      </c>
      <c r="D30" s="93">
        <v>450827.995</v>
      </c>
      <c r="E30" s="93">
        <v>0.18</v>
      </c>
      <c r="F30" s="93">
        <v>3.2000000000000001E-2</v>
      </c>
      <c r="G30" s="4"/>
      <c r="H30" s="93">
        <v>3972849.4389999998</v>
      </c>
      <c r="I30" s="93">
        <v>3972849.4389999998</v>
      </c>
      <c r="J30" s="93">
        <v>0</v>
      </c>
      <c r="K30" s="93">
        <v>0</v>
      </c>
      <c r="L30" s="93">
        <v>3.2000000000000001E-2</v>
      </c>
      <c r="M30" s="5"/>
      <c r="N30" s="77">
        <f>0</f>
        <v>0</v>
      </c>
    </row>
    <row r="31" spans="1:14" ht="15">
      <c r="A31" s="89">
        <v>7</v>
      </c>
      <c r="B31" s="87" t="s">
        <v>39</v>
      </c>
      <c r="C31" s="93">
        <v>450549.09659999999</v>
      </c>
      <c r="D31" s="93">
        <v>450549.09659999999</v>
      </c>
      <c r="E31" s="93">
        <v>0</v>
      </c>
      <c r="F31" s="93">
        <v>0</v>
      </c>
      <c r="G31" s="4"/>
      <c r="H31" s="93">
        <v>3972815.5819999999</v>
      </c>
      <c r="I31" s="93">
        <v>3972815.3820000002</v>
      </c>
      <c r="J31" s="93">
        <v>-0.2</v>
      </c>
      <c r="K31" s="93">
        <v>0.04</v>
      </c>
      <c r="L31" s="93">
        <v>0.04</v>
      </c>
      <c r="M31" s="5"/>
      <c r="N31" s="77">
        <f>0</f>
        <v>0</v>
      </c>
    </row>
    <row r="32" spans="1:14" ht="15">
      <c r="A32" s="90">
        <v>8</v>
      </c>
      <c r="B32" s="85" t="s">
        <v>40</v>
      </c>
      <c r="C32" s="93">
        <v>451274.76799999998</v>
      </c>
      <c r="D32" s="93">
        <v>451274.76799999998</v>
      </c>
      <c r="E32" s="93">
        <v>0</v>
      </c>
      <c r="F32" s="93">
        <v>0</v>
      </c>
      <c r="G32" s="4"/>
      <c r="H32" s="93">
        <v>3972759.76</v>
      </c>
      <c r="I32" s="93">
        <v>3972759.76</v>
      </c>
      <c r="J32" s="93">
        <v>0</v>
      </c>
      <c r="K32" s="93">
        <v>0</v>
      </c>
      <c r="L32" s="93">
        <v>0</v>
      </c>
      <c r="M32" s="5"/>
      <c r="N32" s="77">
        <f>0</f>
        <v>0</v>
      </c>
    </row>
    <row r="33" spans="1:15" ht="15">
      <c r="A33" s="90">
        <v>9</v>
      </c>
      <c r="B33" s="85" t="s">
        <v>41</v>
      </c>
      <c r="C33" s="93">
        <v>451011.34379999997</v>
      </c>
      <c r="D33" s="93">
        <v>451011.09379999997</v>
      </c>
      <c r="E33" s="93">
        <v>-0.25</v>
      </c>
      <c r="F33" s="93">
        <v>6.2E-2</v>
      </c>
      <c r="G33" s="4"/>
      <c r="H33" s="93">
        <v>3972769.6329999999</v>
      </c>
      <c r="I33" s="93">
        <v>3972769.3829999999</v>
      </c>
      <c r="J33" s="93">
        <v>-0.25</v>
      </c>
      <c r="K33" s="93">
        <v>6.2E-2</v>
      </c>
      <c r="L33" s="93">
        <v>0.125</v>
      </c>
      <c r="M33" s="5"/>
      <c r="N33" s="77">
        <f>0</f>
        <v>0</v>
      </c>
    </row>
    <row r="34" spans="1:15" ht="15">
      <c r="A34" s="90">
        <v>10</v>
      </c>
      <c r="B34" s="87" t="s">
        <v>42</v>
      </c>
      <c r="C34" s="93">
        <v>450844.77169999998</v>
      </c>
      <c r="D34" s="93">
        <v>450844.77169999998</v>
      </c>
      <c r="E34" s="93">
        <v>0</v>
      </c>
      <c r="F34" s="93">
        <v>0</v>
      </c>
      <c r="G34" s="4"/>
      <c r="H34" s="93">
        <v>3972768.2030000002</v>
      </c>
      <c r="I34" s="93">
        <v>3972768.2030000002</v>
      </c>
      <c r="J34" s="93">
        <v>0</v>
      </c>
      <c r="K34" s="93">
        <v>0</v>
      </c>
      <c r="L34" s="93">
        <v>0</v>
      </c>
      <c r="M34" s="5"/>
      <c r="N34" s="77">
        <f>0</f>
        <v>0</v>
      </c>
    </row>
    <row r="35" spans="1:15" ht="15">
      <c r="A35" s="90">
        <v>11</v>
      </c>
      <c r="B35" s="85" t="s">
        <v>43</v>
      </c>
      <c r="C35" s="93">
        <v>450657.73749999999</v>
      </c>
      <c r="D35" s="93">
        <v>450657.58750000002</v>
      </c>
      <c r="E35" s="93">
        <v>-0.15</v>
      </c>
      <c r="F35" s="93">
        <v>2.1999999999999999E-2</v>
      </c>
      <c r="G35" s="4"/>
      <c r="H35" s="93">
        <v>3972756.6490000002</v>
      </c>
      <c r="I35" s="93">
        <v>3972756.5490000001</v>
      </c>
      <c r="J35" s="93">
        <v>-0.1</v>
      </c>
      <c r="K35" s="93">
        <v>0.01</v>
      </c>
      <c r="L35" s="93">
        <v>3.2000000000000001E-2</v>
      </c>
      <c r="M35" s="5"/>
      <c r="N35" s="77">
        <f>0</f>
        <v>0</v>
      </c>
    </row>
    <row r="36" spans="1:15" ht="15">
      <c r="A36" s="90">
        <v>12</v>
      </c>
      <c r="B36" s="85" t="s">
        <v>44</v>
      </c>
      <c r="C36" s="93">
        <v>450368.27830000001</v>
      </c>
      <c r="D36" s="93">
        <v>450368.19829999999</v>
      </c>
      <c r="E36" s="93">
        <v>-0.08</v>
      </c>
      <c r="F36" s="93">
        <v>6.0000000000000001E-3</v>
      </c>
      <c r="G36" s="4"/>
      <c r="H36" s="93">
        <v>3972829.111</v>
      </c>
      <c r="I36" s="93">
        <v>3972829.2009999999</v>
      </c>
      <c r="J36" s="93">
        <v>0.09</v>
      </c>
      <c r="K36" s="93">
        <v>8.0000000000000002E-3</v>
      </c>
      <c r="L36" s="93">
        <v>1.4E-2</v>
      </c>
      <c r="M36" s="5"/>
      <c r="N36" s="77">
        <f>0</f>
        <v>0</v>
      </c>
    </row>
    <row r="37" spans="1:15" ht="15">
      <c r="A37" s="90">
        <v>13</v>
      </c>
      <c r="B37" s="87" t="s">
        <v>45</v>
      </c>
      <c r="C37" s="93">
        <v>450393.00650000002</v>
      </c>
      <c r="D37" s="93">
        <v>450393.05650000001</v>
      </c>
      <c r="E37" s="93">
        <v>0.05</v>
      </c>
      <c r="F37" s="93">
        <v>2E-3</v>
      </c>
      <c r="G37" s="4"/>
      <c r="H37" s="93">
        <v>3972782.352</v>
      </c>
      <c r="I37" s="93">
        <v>3972782.1519999998</v>
      </c>
      <c r="J37" s="93">
        <v>-0.2</v>
      </c>
      <c r="K37" s="93">
        <v>0.04</v>
      </c>
      <c r="L37" s="93">
        <v>4.2000000000000003E-2</v>
      </c>
      <c r="M37" s="5"/>
      <c r="N37" s="77">
        <f>0</f>
        <v>0</v>
      </c>
    </row>
    <row r="38" spans="1:15" ht="15">
      <c r="A38" s="90">
        <v>14</v>
      </c>
      <c r="B38" s="85" t="s">
        <v>46</v>
      </c>
      <c r="C38" s="93">
        <v>451265.84879999998</v>
      </c>
      <c r="D38" s="93">
        <v>451265.84879999998</v>
      </c>
      <c r="E38" s="93">
        <v>0</v>
      </c>
      <c r="F38" s="93">
        <v>0</v>
      </c>
      <c r="G38" s="4"/>
      <c r="H38" s="93">
        <v>3972663.628</v>
      </c>
      <c r="I38" s="93">
        <v>3972663.628</v>
      </c>
      <c r="J38" s="93">
        <v>0</v>
      </c>
      <c r="K38" s="93">
        <v>0</v>
      </c>
      <c r="L38" s="93">
        <v>0</v>
      </c>
      <c r="M38" s="5"/>
      <c r="N38" s="77">
        <f>0</f>
        <v>0</v>
      </c>
    </row>
    <row r="39" spans="1:15" ht="15">
      <c r="A39" s="90">
        <v>15</v>
      </c>
      <c r="B39" s="85" t="s">
        <v>47</v>
      </c>
      <c r="C39" s="93">
        <v>451143.59669999999</v>
      </c>
      <c r="D39" s="93">
        <v>451143.4767</v>
      </c>
      <c r="E39" s="93">
        <v>-0.12</v>
      </c>
      <c r="F39" s="93">
        <v>1.4E-2</v>
      </c>
      <c r="G39" s="4"/>
      <c r="H39" s="93">
        <v>3972647.9049999998</v>
      </c>
      <c r="I39" s="93">
        <v>3972648.0550000002</v>
      </c>
      <c r="J39" s="93">
        <v>0.15</v>
      </c>
      <c r="K39" s="93">
        <v>2.1999999999999999E-2</v>
      </c>
      <c r="L39" s="93">
        <v>3.5999999999999997E-2</v>
      </c>
      <c r="M39" s="5"/>
      <c r="N39" s="77">
        <f>0</f>
        <v>0</v>
      </c>
    </row>
    <row r="40" spans="1:15" ht="15">
      <c r="A40" s="90">
        <v>16</v>
      </c>
      <c r="B40" s="87" t="s">
        <v>48</v>
      </c>
      <c r="C40" s="93">
        <v>450917.83490000002</v>
      </c>
      <c r="D40" s="93">
        <v>450918.03490000003</v>
      </c>
      <c r="E40" s="93">
        <v>0.2</v>
      </c>
      <c r="F40" s="93">
        <v>0.04</v>
      </c>
      <c r="G40" s="4"/>
      <c r="H40" s="93">
        <v>3972666.6839999999</v>
      </c>
      <c r="I40" s="93">
        <v>3972666.5839999998</v>
      </c>
      <c r="J40" s="93">
        <v>-0.1</v>
      </c>
      <c r="K40" s="93">
        <v>0.01</v>
      </c>
      <c r="L40" s="93">
        <v>0.05</v>
      </c>
      <c r="M40" s="5"/>
      <c r="N40" s="77">
        <f>0</f>
        <v>0</v>
      </c>
    </row>
    <row r="41" spans="1:15" ht="15">
      <c r="A41" s="90">
        <v>17</v>
      </c>
      <c r="B41" s="85" t="s">
        <v>49</v>
      </c>
      <c r="C41" s="93">
        <v>450791.12390000001</v>
      </c>
      <c r="D41" s="93">
        <v>450791.02389999997</v>
      </c>
      <c r="E41" s="93">
        <v>-0.1</v>
      </c>
      <c r="F41" s="93">
        <v>0.01</v>
      </c>
      <c r="G41" s="4"/>
      <c r="H41" s="93">
        <v>3972625.2289999998</v>
      </c>
      <c r="I41" s="93">
        <v>3972625.429</v>
      </c>
      <c r="J41" s="93">
        <v>0.2</v>
      </c>
      <c r="K41" s="93">
        <v>0.04</v>
      </c>
      <c r="L41" s="93">
        <v>0.05</v>
      </c>
      <c r="M41" s="5"/>
      <c r="N41" s="77">
        <f>0</f>
        <v>0</v>
      </c>
    </row>
    <row r="42" spans="1:15" ht="15">
      <c r="A42" s="90">
        <v>18</v>
      </c>
      <c r="B42" s="85" t="s">
        <v>50</v>
      </c>
      <c r="C42" s="93">
        <v>450553.391</v>
      </c>
      <c r="D42" s="93">
        <v>450553.34100000001</v>
      </c>
      <c r="E42" s="93">
        <v>-0.05</v>
      </c>
      <c r="F42" s="93">
        <v>2E-3</v>
      </c>
      <c r="G42" s="4"/>
      <c r="H42" s="93">
        <v>3972686.6239999998</v>
      </c>
      <c r="I42" s="93">
        <v>3972686.7239999999</v>
      </c>
      <c r="J42" s="93">
        <v>0.1</v>
      </c>
      <c r="K42" s="93">
        <v>0.01</v>
      </c>
      <c r="L42" s="93">
        <v>1.2E-2</v>
      </c>
      <c r="M42" s="5"/>
      <c r="N42" s="77">
        <f>0</f>
        <v>0</v>
      </c>
      <c r="O42" s="6"/>
    </row>
    <row r="43" spans="1:15" ht="15">
      <c r="A43" s="90">
        <v>19</v>
      </c>
      <c r="B43" s="87" t="s">
        <v>51</v>
      </c>
      <c r="C43" s="93">
        <v>450362.19990000001</v>
      </c>
      <c r="D43" s="93">
        <v>450362.19990000001</v>
      </c>
      <c r="E43" s="93">
        <v>0</v>
      </c>
      <c r="F43" s="93">
        <v>0</v>
      </c>
      <c r="G43" s="4"/>
      <c r="H43" s="93">
        <v>3972696.6519999998</v>
      </c>
      <c r="I43" s="93">
        <v>3972696.6519999998</v>
      </c>
      <c r="J43" s="93">
        <v>0</v>
      </c>
      <c r="K43" s="93">
        <v>0</v>
      </c>
      <c r="L43" s="93">
        <v>0</v>
      </c>
      <c r="M43" s="5"/>
      <c r="N43" s="77">
        <f>0</f>
        <v>0</v>
      </c>
      <c r="O43" s="6"/>
    </row>
    <row r="44" spans="1:15" ht="15">
      <c r="A44" s="90">
        <v>20</v>
      </c>
      <c r="B44" s="85" t="s">
        <v>52</v>
      </c>
      <c r="C44" s="93">
        <v>450426.04879999999</v>
      </c>
      <c r="D44" s="93">
        <v>450426.04879999999</v>
      </c>
      <c r="E44" s="93">
        <v>0</v>
      </c>
      <c r="F44" s="93">
        <v>0</v>
      </c>
      <c r="G44" s="4"/>
      <c r="H44" s="93">
        <v>3972511.605</v>
      </c>
      <c r="I44" s="93">
        <v>3972511.605</v>
      </c>
      <c r="J44" s="93">
        <v>0</v>
      </c>
      <c r="K44" s="93">
        <v>0</v>
      </c>
      <c r="L44" s="93">
        <v>0</v>
      </c>
      <c r="M44" s="5"/>
      <c r="N44" s="77">
        <f>0</f>
        <v>0</v>
      </c>
      <c r="O44" s="6"/>
    </row>
    <row r="45" spans="1:15" ht="15">
      <c r="A45" s="89">
        <v>21</v>
      </c>
      <c r="B45" s="85" t="s">
        <v>53</v>
      </c>
      <c r="C45" s="93">
        <v>450538.25280000002</v>
      </c>
      <c r="D45" s="93">
        <v>450538.45280000003</v>
      </c>
      <c r="E45" s="93">
        <v>0.2</v>
      </c>
      <c r="F45" s="93">
        <v>0.04</v>
      </c>
      <c r="G45" s="4"/>
      <c r="H45" s="93">
        <v>3972411.3650000002</v>
      </c>
      <c r="I45" s="93">
        <v>3972411.5649999999</v>
      </c>
      <c r="J45" s="93">
        <v>0.2</v>
      </c>
      <c r="K45" s="93">
        <v>0.04</v>
      </c>
      <c r="L45" s="93">
        <v>0.08</v>
      </c>
      <c r="M45" s="5"/>
      <c r="N45" s="77">
        <f>0</f>
        <v>0</v>
      </c>
      <c r="O45" s="6"/>
    </row>
    <row r="46" spans="1:15" ht="15">
      <c r="A46" s="90">
        <v>22</v>
      </c>
      <c r="B46" s="87" t="s">
        <v>54</v>
      </c>
      <c r="C46" s="93">
        <v>450448.54269999999</v>
      </c>
      <c r="D46" s="93">
        <v>450448.69270000001</v>
      </c>
      <c r="E46" s="93">
        <v>0.15</v>
      </c>
      <c r="F46" s="93">
        <v>2.1999999999999999E-2</v>
      </c>
      <c r="G46" s="4"/>
      <c r="H46" s="93">
        <v>3972373.548</v>
      </c>
      <c r="I46" s="93">
        <v>3972373.398</v>
      </c>
      <c r="J46" s="93">
        <v>-0.15</v>
      </c>
      <c r="K46" s="93">
        <v>2.1999999999999999E-2</v>
      </c>
      <c r="L46" s="93">
        <v>4.4999999999999998E-2</v>
      </c>
      <c r="M46" s="5"/>
      <c r="N46" s="77">
        <f>0</f>
        <v>0</v>
      </c>
      <c r="O46" s="6"/>
    </row>
    <row r="47" spans="1:15" ht="15">
      <c r="A47" s="90">
        <v>23</v>
      </c>
      <c r="B47" s="85" t="s">
        <v>55</v>
      </c>
      <c r="C47" s="93">
        <v>450347.41960000002</v>
      </c>
      <c r="D47" s="93">
        <v>450347.46960000001</v>
      </c>
      <c r="E47" s="93">
        <v>0.05</v>
      </c>
      <c r="F47" s="93">
        <v>2E-3</v>
      </c>
      <c r="G47" s="4"/>
      <c r="H47" s="93">
        <v>3972325.179</v>
      </c>
      <c r="I47" s="93">
        <v>3972325.2289999998</v>
      </c>
      <c r="J47" s="93">
        <v>0.05</v>
      </c>
      <c r="K47" s="93">
        <v>2E-3</v>
      </c>
      <c r="L47" s="93">
        <v>5.0000000000000001E-3</v>
      </c>
      <c r="M47" s="5"/>
      <c r="N47" s="77">
        <f>0</f>
        <v>0</v>
      </c>
      <c r="O47" s="6"/>
    </row>
    <row r="48" spans="1:15" ht="15">
      <c r="A48" s="99">
        <v>24</v>
      </c>
      <c r="B48" s="100" t="s">
        <v>56</v>
      </c>
      <c r="C48" s="101">
        <v>450797.48810000002</v>
      </c>
      <c r="D48" s="101">
        <v>450805.48810000002</v>
      </c>
      <c r="E48" s="101">
        <v>8</v>
      </c>
      <c r="F48" s="101">
        <v>64</v>
      </c>
      <c r="G48" s="102"/>
      <c r="H48" s="101">
        <v>3972523.139</v>
      </c>
      <c r="I48" s="101">
        <v>3972522.9890000001</v>
      </c>
      <c r="J48" s="101">
        <v>-0.15</v>
      </c>
      <c r="K48" s="101">
        <v>2.1999999999999999E-2</v>
      </c>
      <c r="L48" s="101">
        <v>64.022000000000006</v>
      </c>
      <c r="M48" s="103"/>
      <c r="N48" s="104">
        <v>1</v>
      </c>
      <c r="O48" s="6"/>
    </row>
    <row r="49" spans="1:15" ht="15">
      <c r="A49" s="90">
        <v>25</v>
      </c>
      <c r="B49" s="87" t="s">
        <v>57</v>
      </c>
      <c r="C49" s="93">
        <v>451079.33059999999</v>
      </c>
      <c r="D49" s="93">
        <v>451079.13059999997</v>
      </c>
      <c r="E49" s="93">
        <v>-0.2</v>
      </c>
      <c r="F49" s="93">
        <v>0.04</v>
      </c>
      <c r="G49" s="4"/>
      <c r="H49" s="93">
        <v>3972522.6540000001</v>
      </c>
      <c r="I49" s="93">
        <v>3972522.4539999999</v>
      </c>
      <c r="J49" s="93">
        <v>-0.2</v>
      </c>
      <c r="K49" s="93">
        <v>0.04</v>
      </c>
      <c r="L49" s="93">
        <v>0.08</v>
      </c>
      <c r="M49" s="5"/>
      <c r="N49" s="77">
        <f>0</f>
        <v>0</v>
      </c>
      <c r="O49" s="6"/>
    </row>
    <row r="50" spans="1:15" ht="15">
      <c r="A50" s="90">
        <v>26</v>
      </c>
      <c r="B50" s="85" t="s">
        <v>58</v>
      </c>
      <c r="C50" s="93">
        <v>451186.54470000003</v>
      </c>
      <c r="D50" s="93">
        <v>451186.54470000003</v>
      </c>
      <c r="E50" s="93">
        <v>0</v>
      </c>
      <c r="F50" s="93">
        <v>0</v>
      </c>
      <c r="G50" s="4"/>
      <c r="H50" s="93">
        <v>3972419.9739999999</v>
      </c>
      <c r="I50" s="93">
        <v>3972419.9739999999</v>
      </c>
      <c r="J50" s="93">
        <v>0</v>
      </c>
      <c r="K50" s="93">
        <v>0</v>
      </c>
      <c r="L50" s="93">
        <v>0</v>
      </c>
      <c r="M50" s="5"/>
      <c r="N50" s="77">
        <f>0</f>
        <v>0</v>
      </c>
      <c r="O50" s="6"/>
    </row>
    <row r="51" spans="1:15" ht="15">
      <c r="A51" s="90">
        <v>27</v>
      </c>
      <c r="B51" s="85" t="s">
        <v>59</v>
      </c>
      <c r="C51" s="93">
        <v>450898.08889999997</v>
      </c>
      <c r="D51" s="93">
        <v>450898.18890000001</v>
      </c>
      <c r="E51" s="93">
        <v>0.1</v>
      </c>
      <c r="F51" s="93">
        <v>0.01</v>
      </c>
      <c r="G51" s="4"/>
      <c r="H51" s="93">
        <v>3972433.3139999998</v>
      </c>
      <c r="I51" s="93">
        <v>3972433.4139999999</v>
      </c>
      <c r="J51" s="93">
        <v>0.1</v>
      </c>
      <c r="K51" s="93">
        <v>0.01</v>
      </c>
      <c r="L51" s="93">
        <v>0.02</v>
      </c>
      <c r="M51" s="5"/>
      <c r="N51" s="77">
        <f>0</f>
        <v>0</v>
      </c>
      <c r="O51" s="6"/>
    </row>
    <row r="52" spans="1:15" ht="15">
      <c r="A52" s="90">
        <v>28</v>
      </c>
      <c r="B52" s="87" t="s">
        <v>60</v>
      </c>
      <c r="C52" s="93">
        <v>450395.41310000001</v>
      </c>
      <c r="D52" s="93">
        <v>450395.56310000003</v>
      </c>
      <c r="E52" s="93">
        <v>0.15</v>
      </c>
      <c r="F52" s="93">
        <v>2.1999999999999999E-2</v>
      </c>
      <c r="G52" s="4"/>
      <c r="H52" s="93">
        <v>3972256.5929999999</v>
      </c>
      <c r="I52" s="93">
        <v>3972256.7429999998</v>
      </c>
      <c r="J52" s="93">
        <v>0.15</v>
      </c>
      <c r="K52" s="93">
        <v>2.1999999999999999E-2</v>
      </c>
      <c r="L52" s="93">
        <v>4.4999999999999998E-2</v>
      </c>
      <c r="M52" s="5"/>
      <c r="N52" s="77">
        <f>0</f>
        <v>0</v>
      </c>
      <c r="O52" s="6"/>
    </row>
    <row r="53" spans="1:15" ht="15">
      <c r="A53" s="90">
        <v>29</v>
      </c>
      <c r="B53" s="85" t="s">
        <v>61</v>
      </c>
      <c r="C53" s="93">
        <v>450513.21120000002</v>
      </c>
      <c r="D53" s="93">
        <v>450513.16119999997</v>
      </c>
      <c r="E53" s="93">
        <v>-0.05</v>
      </c>
      <c r="F53" s="93">
        <v>2E-3</v>
      </c>
      <c r="G53" s="4"/>
      <c r="H53" s="93">
        <v>3972213.0559999999</v>
      </c>
      <c r="I53" s="93">
        <v>3972212.8560000001</v>
      </c>
      <c r="J53" s="93">
        <v>-0.2</v>
      </c>
      <c r="K53" s="93">
        <v>0.04</v>
      </c>
      <c r="L53" s="93">
        <v>4.2000000000000003E-2</v>
      </c>
      <c r="M53" s="5"/>
      <c r="N53" s="77">
        <f>0</f>
        <v>0</v>
      </c>
      <c r="O53" s="6"/>
    </row>
    <row r="54" spans="1:15" ht="15">
      <c r="A54" s="90">
        <v>30</v>
      </c>
      <c r="B54" s="85" t="s">
        <v>62</v>
      </c>
      <c r="C54" s="93">
        <v>451011.03450000001</v>
      </c>
      <c r="D54" s="93">
        <v>451011.28450000001</v>
      </c>
      <c r="E54" s="93">
        <v>0.25</v>
      </c>
      <c r="F54" s="93">
        <v>6.2E-2</v>
      </c>
      <c r="G54" s="4"/>
      <c r="H54" s="93">
        <v>3972337.6460000002</v>
      </c>
      <c r="I54" s="93">
        <v>3972337.8960000002</v>
      </c>
      <c r="J54" s="93">
        <v>0.25</v>
      </c>
      <c r="K54" s="93">
        <v>6.2E-2</v>
      </c>
      <c r="L54" s="93">
        <v>0.125</v>
      </c>
      <c r="M54" s="5"/>
      <c r="N54" s="77">
        <f>0</f>
        <v>0</v>
      </c>
      <c r="O54" s="6"/>
    </row>
    <row r="55" spans="1:15" ht="15">
      <c r="A55" s="90">
        <v>31</v>
      </c>
      <c r="B55" s="87" t="s">
        <v>63</v>
      </c>
      <c r="C55" s="93">
        <v>451209.34700000001</v>
      </c>
      <c r="D55" s="93">
        <v>451209.69699999999</v>
      </c>
      <c r="E55" s="93">
        <v>0.35</v>
      </c>
      <c r="F55" s="93">
        <v>0.122</v>
      </c>
      <c r="G55" s="4"/>
      <c r="H55" s="93">
        <v>3972211.67</v>
      </c>
      <c r="I55" s="93">
        <v>3972212.02</v>
      </c>
      <c r="J55" s="93">
        <v>0.35</v>
      </c>
      <c r="K55" s="93">
        <v>0.122</v>
      </c>
      <c r="L55" s="93">
        <v>0.245</v>
      </c>
      <c r="M55" s="5"/>
      <c r="N55" s="77">
        <f>0</f>
        <v>0</v>
      </c>
      <c r="O55" s="6"/>
    </row>
    <row r="56" spans="1:15" ht="15">
      <c r="A56" s="90">
        <v>32</v>
      </c>
      <c r="B56" s="85" t="s">
        <v>64</v>
      </c>
      <c r="C56" s="93">
        <v>451005.33590000001</v>
      </c>
      <c r="D56" s="93">
        <v>451005.18589999998</v>
      </c>
      <c r="E56" s="93">
        <v>-0.15</v>
      </c>
      <c r="F56" s="93">
        <v>2.1999999999999999E-2</v>
      </c>
      <c r="G56" s="4"/>
      <c r="H56" s="93">
        <v>3972197.821</v>
      </c>
      <c r="I56" s="93">
        <v>3972197.821</v>
      </c>
      <c r="J56" s="93">
        <v>0</v>
      </c>
      <c r="K56" s="93">
        <v>0</v>
      </c>
      <c r="L56" s="93">
        <v>2.1999999999999999E-2</v>
      </c>
      <c r="M56" s="5"/>
      <c r="N56" s="77">
        <f>0</f>
        <v>0</v>
      </c>
      <c r="O56" s="6"/>
    </row>
    <row r="57" spans="1:15" ht="15">
      <c r="A57" s="90">
        <v>33</v>
      </c>
      <c r="B57" s="85" t="s">
        <v>65</v>
      </c>
      <c r="C57" s="93">
        <v>450678.51140000002</v>
      </c>
      <c r="D57" s="93">
        <v>450678.51140000002</v>
      </c>
      <c r="E57" s="93">
        <v>0</v>
      </c>
      <c r="F57" s="93">
        <v>0</v>
      </c>
      <c r="G57" s="4"/>
      <c r="H57" s="93">
        <v>3972350.9959999998</v>
      </c>
      <c r="I57" s="93">
        <v>3972351.2459999998</v>
      </c>
      <c r="J57" s="93">
        <v>0.25</v>
      </c>
      <c r="K57" s="93">
        <v>6.2E-2</v>
      </c>
      <c r="L57" s="93">
        <v>6.2E-2</v>
      </c>
      <c r="M57" s="5"/>
      <c r="N57" s="77">
        <f>0</f>
        <v>0</v>
      </c>
      <c r="O57" s="6"/>
    </row>
    <row r="58" spans="1:15" ht="15">
      <c r="A58" s="90">
        <v>34</v>
      </c>
      <c r="B58" s="87" t="s">
        <v>66</v>
      </c>
      <c r="C58" s="93">
        <v>450737.2157</v>
      </c>
      <c r="D58" s="93">
        <v>450737.2157</v>
      </c>
      <c r="E58" s="93">
        <v>0</v>
      </c>
      <c r="F58" s="93">
        <v>0</v>
      </c>
      <c r="G58" s="4"/>
      <c r="H58" s="93">
        <v>3972097.2119999998</v>
      </c>
      <c r="I58" s="93">
        <v>3972097.2119999998</v>
      </c>
      <c r="J58" s="93">
        <v>0</v>
      </c>
      <c r="K58" s="93">
        <v>0</v>
      </c>
      <c r="L58" s="93">
        <v>0</v>
      </c>
      <c r="M58" s="5"/>
      <c r="N58" s="77">
        <f>0</f>
        <v>0</v>
      </c>
      <c r="O58" s="6"/>
    </row>
    <row r="59" spans="1:15" ht="15">
      <c r="A59" s="90">
        <v>35</v>
      </c>
      <c r="B59" s="85" t="s">
        <v>67</v>
      </c>
      <c r="C59" s="93">
        <v>451235.59179999999</v>
      </c>
      <c r="D59" s="93">
        <v>451235.69179999997</v>
      </c>
      <c r="E59" s="93">
        <v>0.1</v>
      </c>
      <c r="F59" s="93">
        <v>0.01</v>
      </c>
      <c r="G59" s="4"/>
      <c r="H59" s="93">
        <v>3972066.91</v>
      </c>
      <c r="I59" s="93">
        <v>3972067.06</v>
      </c>
      <c r="J59" s="93">
        <v>0.15</v>
      </c>
      <c r="K59" s="93">
        <v>2.1999999999999999E-2</v>
      </c>
      <c r="L59" s="93">
        <v>3.2000000000000001E-2</v>
      </c>
      <c r="M59" s="5"/>
      <c r="N59" s="77">
        <f>0</f>
        <v>0</v>
      </c>
      <c r="O59" s="6"/>
    </row>
    <row r="60" spans="1:15" ht="15">
      <c r="A60" s="90">
        <v>36</v>
      </c>
      <c r="B60" s="85" t="s">
        <v>68</v>
      </c>
      <c r="C60" s="93">
        <v>450839.64990000002</v>
      </c>
      <c r="D60" s="93">
        <v>450839.64990000002</v>
      </c>
      <c r="E60" s="93">
        <v>0</v>
      </c>
      <c r="F60" s="93">
        <v>0</v>
      </c>
      <c r="G60" s="4"/>
      <c r="H60" s="93">
        <v>3972265.2250000001</v>
      </c>
      <c r="I60" s="93">
        <v>3972265.2250000001</v>
      </c>
      <c r="J60" s="93">
        <v>0</v>
      </c>
      <c r="K60" s="93">
        <v>0</v>
      </c>
      <c r="L60" s="93">
        <v>0</v>
      </c>
      <c r="M60" s="5"/>
      <c r="N60" s="77">
        <f>0</f>
        <v>0</v>
      </c>
      <c r="O60" s="6"/>
    </row>
    <row r="61" spans="1:15" ht="15">
      <c r="A61" s="90">
        <v>37</v>
      </c>
      <c r="B61" s="87" t="s">
        <v>69</v>
      </c>
      <c r="C61" s="93">
        <v>451305.57789999997</v>
      </c>
      <c r="D61" s="93">
        <v>451305.77789999999</v>
      </c>
      <c r="E61" s="93">
        <v>0.2</v>
      </c>
      <c r="F61" s="93">
        <v>0.04</v>
      </c>
      <c r="G61" s="4"/>
      <c r="H61" s="93">
        <v>3972989.1430000002</v>
      </c>
      <c r="I61" s="93">
        <v>3972989.2429999998</v>
      </c>
      <c r="J61" s="93">
        <v>0.1</v>
      </c>
      <c r="K61" s="93">
        <v>0.01</v>
      </c>
      <c r="L61" s="93">
        <v>0.05</v>
      </c>
      <c r="M61" s="5"/>
      <c r="N61" s="77">
        <f>0</f>
        <v>0</v>
      </c>
      <c r="O61" s="6"/>
    </row>
    <row r="62" spans="1:15" ht="15">
      <c r="A62" s="90">
        <v>38</v>
      </c>
      <c r="B62" s="85" t="s">
        <v>70</v>
      </c>
      <c r="C62" s="93">
        <v>450555.13709999999</v>
      </c>
      <c r="D62" s="93">
        <v>450554.88709999999</v>
      </c>
      <c r="E62" s="93">
        <v>-0.25</v>
      </c>
      <c r="F62" s="93">
        <v>6.2E-2</v>
      </c>
      <c r="G62" s="4"/>
      <c r="H62" s="93">
        <v>3972265.3289999999</v>
      </c>
      <c r="I62" s="93">
        <v>3972265.0789999999</v>
      </c>
      <c r="J62" s="93">
        <v>-0.25</v>
      </c>
      <c r="K62" s="93">
        <v>6.2E-2</v>
      </c>
      <c r="L62" s="93">
        <v>0.125</v>
      </c>
      <c r="M62" s="5"/>
      <c r="N62" s="77">
        <f>0</f>
        <v>0</v>
      </c>
      <c r="O62" s="6"/>
    </row>
    <row r="63" spans="1:15" ht="15">
      <c r="A63" s="90">
        <v>39</v>
      </c>
      <c r="B63" s="85" t="s">
        <v>71</v>
      </c>
      <c r="C63" s="93">
        <v>450334.22649999999</v>
      </c>
      <c r="D63" s="93">
        <v>450334.37650000001</v>
      </c>
      <c r="E63" s="93">
        <v>0.15</v>
      </c>
      <c r="F63" s="93">
        <v>2.1999999999999999E-2</v>
      </c>
      <c r="G63" s="4"/>
      <c r="H63" s="93">
        <v>3972087.7450000001</v>
      </c>
      <c r="I63" s="93">
        <v>3972087.895</v>
      </c>
      <c r="J63" s="93">
        <v>0.15</v>
      </c>
      <c r="K63" s="93">
        <v>2.1999999999999999E-2</v>
      </c>
      <c r="L63" s="93">
        <v>4.4999999999999998E-2</v>
      </c>
      <c r="M63" s="5"/>
      <c r="N63" s="77">
        <f>0</f>
        <v>0</v>
      </c>
      <c r="O63" s="6"/>
    </row>
    <row r="64" spans="1:15" ht="15.75" thickBot="1">
      <c r="A64" s="91">
        <v>40</v>
      </c>
      <c r="B64" s="88" t="s">
        <v>72</v>
      </c>
      <c r="C64" s="93">
        <v>450807.18959999998</v>
      </c>
      <c r="D64" s="93">
        <v>450807.23959999997</v>
      </c>
      <c r="E64" s="93">
        <v>0.05</v>
      </c>
      <c r="F64" s="93">
        <v>2E-3</v>
      </c>
      <c r="G64" s="36"/>
      <c r="H64" s="93">
        <v>3973004.5639999998</v>
      </c>
      <c r="I64" s="93">
        <v>3973004.6140000001</v>
      </c>
      <c r="J64" s="93">
        <v>0.05</v>
      </c>
      <c r="K64" s="93">
        <v>2E-3</v>
      </c>
      <c r="L64" s="93">
        <v>5.0000000000000001E-3</v>
      </c>
      <c r="M64" s="5"/>
      <c r="N64" s="77">
        <f>0</f>
        <v>0</v>
      </c>
      <c r="O64" s="6"/>
    </row>
    <row r="65" spans="1:15">
      <c r="C65" s="6"/>
      <c r="H65" s="6"/>
      <c r="K65" s="68" t="s">
        <v>73</v>
      </c>
      <c r="L65" s="95">
        <f>SUM(L25:L47, L49:L64)</f>
        <v>1.6130000000000002</v>
      </c>
      <c r="M65" s="5"/>
      <c r="O65" s="6"/>
    </row>
    <row r="66" spans="1:15">
      <c r="C66" s="6"/>
      <c r="H66" s="6"/>
      <c r="K66" s="32" t="s">
        <v>74</v>
      </c>
      <c r="L66" s="98">
        <f>AVERAGE(L25:L47, L49:L64)</f>
        <v>4.1358974358974364E-2</v>
      </c>
      <c r="M66" s="5"/>
      <c r="O66" s="6"/>
    </row>
    <row r="67" spans="1:15" ht="13.5" thickBot="1">
      <c r="C67" s="6"/>
      <c r="H67" s="6"/>
      <c r="K67" s="33" t="s">
        <v>13</v>
      </c>
      <c r="L67" s="107">
        <f>SQRT(L66)</f>
        <v>0.20336905949277131</v>
      </c>
      <c r="M67" s="3"/>
      <c r="O67" s="6"/>
    </row>
    <row r="68" spans="1:15" ht="13.5" thickBot="1">
      <c r="C68" s="6"/>
      <c r="H68" s="6"/>
      <c r="K68" s="67" t="s">
        <v>14</v>
      </c>
      <c r="L68" s="108">
        <f>L67*1.7308</f>
        <v>0.35199116817008858</v>
      </c>
      <c r="M68" s="7"/>
      <c r="O68" s="37"/>
    </row>
    <row r="69" spans="1:15" ht="39" thickBot="1">
      <c r="A69" s="41" t="s">
        <v>75</v>
      </c>
      <c r="H69" s="2"/>
      <c r="N69" s="71"/>
    </row>
    <row r="70" spans="1:15" ht="13.5" thickBot="1">
      <c r="A70" s="42">
        <f>COUNT(A25:A64)</f>
        <v>40</v>
      </c>
      <c r="F70" s="9"/>
      <c r="H70" s="2"/>
      <c r="I70" s="43"/>
      <c r="J70" s="9"/>
      <c r="K70" s="38" t="s">
        <v>10</v>
      </c>
      <c r="L70" s="39"/>
      <c r="M70" s="50"/>
      <c r="N70" s="72">
        <v>0.61140000000000005</v>
      </c>
    </row>
    <row r="71" spans="1:15">
      <c r="A71" s="7"/>
      <c r="B71" s="7"/>
      <c r="C71" s="6"/>
      <c r="F71" s="9"/>
      <c r="H71" s="2"/>
      <c r="I71" s="44"/>
      <c r="J71" s="9"/>
      <c r="K71" s="47" t="s">
        <v>76</v>
      </c>
      <c r="L71" s="51"/>
      <c r="M71" s="34"/>
      <c r="N71" s="73">
        <v>1</v>
      </c>
    </row>
    <row r="72" spans="1:15" ht="13.5" thickBot="1">
      <c r="A72" s="7"/>
      <c r="B72" s="7"/>
      <c r="C72" s="6"/>
      <c r="H72" s="45"/>
      <c r="I72" s="46"/>
      <c r="K72" s="48" t="s">
        <v>77</v>
      </c>
      <c r="L72" s="35"/>
      <c r="M72" s="49"/>
      <c r="N72" s="74">
        <f>N71/A70</f>
        <v>2.5000000000000001E-2</v>
      </c>
    </row>
  </sheetData>
  <phoneticPr fontId="0" type="noConversion"/>
  <conditionalFormatting sqref="L66:L65536 L1:L13 L15:L24">
    <cfRule type="cellIs" dxfId="0" priority="1" stopIfTrue="1" operator="greaterThanOrEqual">
      <formula>$N$70</formula>
    </cfRule>
  </conditionalFormatting>
  <printOptions horizontalCentered="1"/>
  <pageMargins left="0.27" right="0.27" top="0.5" bottom="1" header="0.5" footer="0.5"/>
  <pageSetup paperSize="8" orientation="landscape" r:id="rId1"/>
  <headerFooter alignWithMargins="0"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AE6B-DAEC-4403-BD66-CC8AE1CB82ED}">
  <dimension ref="A4:G60"/>
  <sheetViews>
    <sheetView topLeftCell="A34" workbookViewId="0">
      <selection activeCell="E60" sqref="E60"/>
    </sheetView>
  </sheetViews>
  <sheetFormatPr defaultRowHeight="12.75"/>
  <cols>
    <col min="1" max="6" width="10.7109375" customWidth="1"/>
  </cols>
  <sheetData>
    <row r="4" spans="1:6" ht="13.5" thickBot="1"/>
    <row r="5" spans="1:6">
      <c r="A5" s="10" t="s">
        <v>78</v>
      </c>
      <c r="B5" s="11" t="s">
        <v>79</v>
      </c>
      <c r="C5" s="11" t="s">
        <v>80</v>
      </c>
      <c r="D5" s="11" t="s">
        <v>81</v>
      </c>
      <c r="E5" s="12" t="s">
        <v>82</v>
      </c>
    </row>
    <row r="6" spans="1:6" ht="13.5" thickBot="1">
      <c r="A6" s="13"/>
      <c r="B6" s="14"/>
      <c r="C6" s="14"/>
      <c r="D6" s="14"/>
      <c r="E6" s="15"/>
    </row>
    <row r="7" spans="1:6">
      <c r="A7" s="16">
        <v>1</v>
      </c>
      <c r="B7" s="17">
        <v>0</v>
      </c>
      <c r="C7" s="17">
        <v>0</v>
      </c>
      <c r="D7" s="17">
        <f>B7-C7</f>
        <v>0</v>
      </c>
      <c r="E7" s="18">
        <f t="shared" ref="E7:E38" si="0">D7*D7</f>
        <v>0</v>
      </c>
    </row>
    <row r="8" spans="1:6">
      <c r="A8" s="19">
        <v>2</v>
      </c>
      <c r="B8" s="17">
        <v>0</v>
      </c>
      <c r="C8" s="17">
        <v>0</v>
      </c>
      <c r="D8" s="20">
        <f t="shared" ref="D8:D56" si="1">B8-C8</f>
        <v>0</v>
      </c>
      <c r="E8" s="18">
        <f t="shared" si="0"/>
        <v>0</v>
      </c>
      <c r="F8">
        <f>D8*D8</f>
        <v>0</v>
      </c>
    </row>
    <row r="9" spans="1:6">
      <c r="A9" s="19">
        <v>3</v>
      </c>
      <c r="B9" s="17">
        <v>0</v>
      </c>
      <c r="C9" s="17">
        <v>0</v>
      </c>
      <c r="D9" s="20">
        <f t="shared" si="1"/>
        <v>0</v>
      </c>
      <c r="E9" s="21">
        <f t="shared" si="0"/>
        <v>0</v>
      </c>
    </row>
    <row r="10" spans="1:6">
      <c r="A10" s="19">
        <v>4</v>
      </c>
      <c r="B10" s="17">
        <v>0</v>
      </c>
      <c r="C10" s="17">
        <v>0</v>
      </c>
      <c r="D10" s="20">
        <f t="shared" si="1"/>
        <v>0</v>
      </c>
      <c r="E10" s="21">
        <f t="shared" si="0"/>
        <v>0</v>
      </c>
    </row>
    <row r="11" spans="1:6">
      <c r="A11" s="19">
        <v>5</v>
      </c>
      <c r="B11" s="17">
        <v>0</v>
      </c>
      <c r="C11" s="17">
        <v>0</v>
      </c>
      <c r="D11" s="20">
        <f t="shared" si="1"/>
        <v>0</v>
      </c>
      <c r="E11" s="21">
        <f t="shared" si="0"/>
        <v>0</v>
      </c>
    </row>
    <row r="12" spans="1:6">
      <c r="A12" s="19">
        <v>6</v>
      </c>
      <c r="B12" s="17">
        <v>0</v>
      </c>
      <c r="C12" s="17">
        <v>0</v>
      </c>
      <c r="D12" s="20">
        <f t="shared" si="1"/>
        <v>0</v>
      </c>
      <c r="E12" s="21">
        <f t="shared" si="0"/>
        <v>0</v>
      </c>
      <c r="F12">
        <f>D12*D12</f>
        <v>0</v>
      </c>
    </row>
    <row r="13" spans="1:6">
      <c r="A13" s="19">
        <v>7</v>
      </c>
      <c r="B13" s="17">
        <v>0</v>
      </c>
      <c r="C13" s="17">
        <v>0</v>
      </c>
      <c r="D13" s="20">
        <f t="shared" si="1"/>
        <v>0</v>
      </c>
      <c r="E13" s="21">
        <f t="shared" si="0"/>
        <v>0</v>
      </c>
    </row>
    <row r="14" spans="1:6">
      <c r="A14" s="19">
        <v>8</v>
      </c>
      <c r="B14" s="17">
        <v>0</v>
      </c>
      <c r="C14" s="17">
        <v>0</v>
      </c>
      <c r="D14" s="20">
        <f t="shared" si="1"/>
        <v>0</v>
      </c>
      <c r="E14" s="21">
        <f t="shared" si="0"/>
        <v>0</v>
      </c>
    </row>
    <row r="15" spans="1:6">
      <c r="A15" s="19">
        <v>9</v>
      </c>
      <c r="B15" s="17">
        <v>0</v>
      </c>
      <c r="C15" s="17">
        <v>0</v>
      </c>
      <c r="D15" s="20">
        <f t="shared" si="1"/>
        <v>0</v>
      </c>
      <c r="E15" s="21">
        <f t="shared" si="0"/>
        <v>0</v>
      </c>
      <c r="F15">
        <f>D15*D15</f>
        <v>0</v>
      </c>
    </row>
    <row r="16" spans="1:6">
      <c r="A16" s="19">
        <v>10</v>
      </c>
      <c r="B16" s="17">
        <v>0</v>
      </c>
      <c r="C16" s="17">
        <v>0</v>
      </c>
      <c r="D16" s="20">
        <f t="shared" si="1"/>
        <v>0</v>
      </c>
      <c r="E16" s="21">
        <f t="shared" si="0"/>
        <v>0</v>
      </c>
    </row>
    <row r="17" spans="1:6">
      <c r="A17" s="19">
        <v>11</v>
      </c>
      <c r="B17" s="17">
        <v>0</v>
      </c>
      <c r="C17" s="17">
        <v>0</v>
      </c>
      <c r="D17" s="20">
        <f t="shared" si="1"/>
        <v>0</v>
      </c>
      <c r="E17" s="21">
        <f t="shared" si="0"/>
        <v>0</v>
      </c>
      <c r="F17">
        <f>D17*D17</f>
        <v>0</v>
      </c>
    </row>
    <row r="18" spans="1:6">
      <c r="A18" s="19">
        <v>12</v>
      </c>
      <c r="B18" s="17">
        <v>0</v>
      </c>
      <c r="C18" s="17">
        <v>0</v>
      </c>
      <c r="D18" s="20">
        <f t="shared" si="1"/>
        <v>0</v>
      </c>
      <c r="E18" s="21">
        <f t="shared" si="0"/>
        <v>0</v>
      </c>
    </row>
    <row r="19" spans="1:6">
      <c r="A19" s="19">
        <v>13</v>
      </c>
      <c r="B19" s="17">
        <v>0</v>
      </c>
      <c r="C19" s="17">
        <v>0</v>
      </c>
      <c r="D19" s="20">
        <f t="shared" si="1"/>
        <v>0</v>
      </c>
      <c r="E19" s="21">
        <f t="shared" si="0"/>
        <v>0</v>
      </c>
    </row>
    <row r="20" spans="1:6">
      <c r="A20" s="19">
        <v>14</v>
      </c>
      <c r="B20" s="17">
        <v>0</v>
      </c>
      <c r="C20" s="17">
        <v>0</v>
      </c>
      <c r="D20" s="20">
        <f t="shared" si="1"/>
        <v>0</v>
      </c>
      <c r="E20" s="21">
        <f t="shared" si="0"/>
        <v>0</v>
      </c>
      <c r="F20">
        <f>D20*D20</f>
        <v>0</v>
      </c>
    </row>
    <row r="21" spans="1:6">
      <c r="A21" s="19">
        <v>15</v>
      </c>
      <c r="B21" s="17">
        <v>0</v>
      </c>
      <c r="C21" s="17">
        <v>0</v>
      </c>
      <c r="D21" s="20">
        <f t="shared" si="1"/>
        <v>0</v>
      </c>
      <c r="E21" s="21">
        <f t="shared" si="0"/>
        <v>0</v>
      </c>
    </row>
    <row r="22" spans="1:6">
      <c r="A22" s="19">
        <v>16</v>
      </c>
      <c r="B22" s="17">
        <v>0</v>
      </c>
      <c r="C22" s="17">
        <v>0</v>
      </c>
      <c r="D22" s="20">
        <f t="shared" si="1"/>
        <v>0</v>
      </c>
      <c r="E22" s="21">
        <f t="shared" si="0"/>
        <v>0</v>
      </c>
    </row>
    <row r="23" spans="1:6">
      <c r="A23" s="19">
        <v>17</v>
      </c>
      <c r="B23" s="17">
        <v>0</v>
      </c>
      <c r="C23" s="17">
        <v>0</v>
      </c>
      <c r="D23" s="20">
        <f t="shared" si="1"/>
        <v>0</v>
      </c>
      <c r="E23" s="21">
        <f t="shared" si="0"/>
        <v>0</v>
      </c>
    </row>
    <row r="24" spans="1:6">
      <c r="A24" s="19">
        <v>18</v>
      </c>
      <c r="B24" s="17">
        <v>0</v>
      </c>
      <c r="C24" s="17">
        <v>0</v>
      </c>
      <c r="D24" s="20">
        <f t="shared" si="1"/>
        <v>0</v>
      </c>
      <c r="E24" s="21">
        <f t="shared" si="0"/>
        <v>0</v>
      </c>
    </row>
    <row r="25" spans="1:6">
      <c r="A25" s="19">
        <v>19</v>
      </c>
      <c r="B25" s="17">
        <v>0</v>
      </c>
      <c r="C25" s="17">
        <v>0</v>
      </c>
      <c r="D25" s="20">
        <f t="shared" si="1"/>
        <v>0</v>
      </c>
      <c r="E25" s="21">
        <f t="shared" si="0"/>
        <v>0</v>
      </c>
      <c r="F25">
        <f>D25*D25</f>
        <v>0</v>
      </c>
    </row>
    <row r="26" spans="1:6">
      <c r="A26" s="19">
        <v>20</v>
      </c>
      <c r="B26" s="17">
        <v>0</v>
      </c>
      <c r="C26" s="17">
        <v>0</v>
      </c>
      <c r="D26" s="20">
        <f t="shared" si="1"/>
        <v>0</v>
      </c>
      <c r="E26" s="21">
        <f t="shared" si="0"/>
        <v>0</v>
      </c>
      <c r="F26">
        <f>D26*D26</f>
        <v>0</v>
      </c>
    </row>
    <row r="27" spans="1:6">
      <c r="A27" s="19">
        <v>21</v>
      </c>
      <c r="B27" s="17">
        <v>0</v>
      </c>
      <c r="C27" s="17">
        <v>0</v>
      </c>
      <c r="D27" s="20">
        <f t="shared" si="1"/>
        <v>0</v>
      </c>
      <c r="E27" s="21">
        <f t="shared" si="0"/>
        <v>0</v>
      </c>
    </row>
    <row r="28" spans="1:6">
      <c r="A28" s="19">
        <v>22</v>
      </c>
      <c r="B28" s="17">
        <v>0</v>
      </c>
      <c r="C28" s="17">
        <v>0</v>
      </c>
      <c r="D28" s="20">
        <f t="shared" si="1"/>
        <v>0</v>
      </c>
      <c r="E28" s="21">
        <f t="shared" si="0"/>
        <v>0</v>
      </c>
    </row>
    <row r="29" spans="1:6">
      <c r="A29" s="19">
        <v>23</v>
      </c>
      <c r="B29" s="17">
        <v>0</v>
      </c>
      <c r="C29" s="17">
        <v>0</v>
      </c>
      <c r="D29" s="20">
        <f t="shared" si="1"/>
        <v>0</v>
      </c>
      <c r="E29" s="21">
        <f t="shared" si="0"/>
        <v>0</v>
      </c>
    </row>
    <row r="30" spans="1:6">
      <c r="A30" s="19">
        <v>24</v>
      </c>
      <c r="B30" s="17">
        <v>0</v>
      </c>
      <c r="C30" s="17">
        <v>0</v>
      </c>
      <c r="D30" s="20">
        <f t="shared" si="1"/>
        <v>0</v>
      </c>
      <c r="E30" s="21">
        <f t="shared" si="0"/>
        <v>0</v>
      </c>
      <c r="F30">
        <f>D30*D30</f>
        <v>0</v>
      </c>
    </row>
    <row r="31" spans="1:6">
      <c r="A31" s="19">
        <v>25</v>
      </c>
      <c r="B31" s="17">
        <v>0</v>
      </c>
      <c r="C31" s="17">
        <v>0</v>
      </c>
      <c r="D31" s="20">
        <f t="shared" si="1"/>
        <v>0</v>
      </c>
      <c r="E31" s="21">
        <f t="shared" si="0"/>
        <v>0</v>
      </c>
      <c r="F31">
        <f>D31*D31</f>
        <v>0</v>
      </c>
    </row>
    <row r="32" spans="1:6">
      <c r="A32" s="19">
        <v>26</v>
      </c>
      <c r="B32" s="17">
        <v>0</v>
      </c>
      <c r="C32" s="17">
        <v>0</v>
      </c>
      <c r="D32" s="20">
        <f t="shared" si="1"/>
        <v>0</v>
      </c>
      <c r="E32" s="21">
        <f t="shared" si="0"/>
        <v>0</v>
      </c>
    </row>
    <row r="33" spans="1:7">
      <c r="A33" s="19">
        <v>27</v>
      </c>
      <c r="B33" s="17">
        <v>0</v>
      </c>
      <c r="C33" s="17">
        <v>0</v>
      </c>
      <c r="D33" s="20">
        <f t="shared" si="1"/>
        <v>0</v>
      </c>
      <c r="E33" s="21">
        <f t="shared" si="0"/>
        <v>0</v>
      </c>
    </row>
    <row r="34" spans="1:7">
      <c r="A34" s="19">
        <v>28</v>
      </c>
      <c r="B34" s="17">
        <v>0</v>
      </c>
      <c r="C34" s="17">
        <v>0</v>
      </c>
      <c r="D34" s="20">
        <f t="shared" si="1"/>
        <v>0</v>
      </c>
      <c r="E34" s="21">
        <f t="shared" si="0"/>
        <v>0</v>
      </c>
    </row>
    <row r="35" spans="1:7">
      <c r="A35" s="19">
        <v>29</v>
      </c>
      <c r="B35" s="17">
        <v>0</v>
      </c>
      <c r="C35" s="17">
        <v>0</v>
      </c>
      <c r="D35" s="20">
        <f t="shared" si="1"/>
        <v>0</v>
      </c>
      <c r="E35" s="21">
        <f t="shared" si="0"/>
        <v>0</v>
      </c>
      <c r="F35">
        <f>D35*D35</f>
        <v>0</v>
      </c>
      <c r="G35" s="22"/>
    </row>
    <row r="36" spans="1:7">
      <c r="A36" s="19">
        <v>30</v>
      </c>
      <c r="B36" s="17">
        <v>0</v>
      </c>
      <c r="C36" s="17">
        <v>0</v>
      </c>
      <c r="D36" s="20">
        <f t="shared" si="1"/>
        <v>0</v>
      </c>
      <c r="E36" s="21">
        <f t="shared" si="0"/>
        <v>0</v>
      </c>
    </row>
    <row r="37" spans="1:7">
      <c r="A37" s="19">
        <v>31</v>
      </c>
      <c r="B37" s="17">
        <v>0</v>
      </c>
      <c r="C37" s="17">
        <v>0</v>
      </c>
      <c r="D37" s="20">
        <f t="shared" si="1"/>
        <v>0</v>
      </c>
      <c r="E37" s="21">
        <f t="shared" si="0"/>
        <v>0</v>
      </c>
    </row>
    <row r="38" spans="1:7">
      <c r="A38" s="19">
        <v>32</v>
      </c>
      <c r="B38" s="17">
        <v>0</v>
      </c>
      <c r="C38" s="17">
        <v>0</v>
      </c>
      <c r="D38" s="20">
        <f t="shared" si="1"/>
        <v>0</v>
      </c>
      <c r="E38" s="21">
        <f t="shared" si="0"/>
        <v>0</v>
      </c>
    </row>
    <row r="39" spans="1:7">
      <c r="A39" s="19">
        <v>33</v>
      </c>
      <c r="B39" s="17">
        <v>0</v>
      </c>
      <c r="C39" s="17">
        <v>0</v>
      </c>
      <c r="D39" s="20">
        <f t="shared" si="1"/>
        <v>0</v>
      </c>
      <c r="E39" s="21">
        <f t="shared" ref="E39:E56" si="2">D39*D39</f>
        <v>0</v>
      </c>
      <c r="F39">
        <f>D39*D39</f>
        <v>0</v>
      </c>
    </row>
    <row r="40" spans="1:7">
      <c r="A40" s="19">
        <v>34</v>
      </c>
      <c r="B40" s="17">
        <v>0</v>
      </c>
      <c r="C40" s="17">
        <v>0</v>
      </c>
      <c r="D40" s="20">
        <f t="shared" si="1"/>
        <v>0</v>
      </c>
      <c r="E40" s="23">
        <f t="shared" si="2"/>
        <v>0</v>
      </c>
    </row>
    <row r="41" spans="1:7">
      <c r="A41" s="19">
        <v>35</v>
      </c>
      <c r="B41" s="17">
        <v>0</v>
      </c>
      <c r="C41" s="17">
        <v>0</v>
      </c>
      <c r="D41" s="20">
        <f t="shared" si="1"/>
        <v>0</v>
      </c>
      <c r="E41" s="23">
        <f t="shared" si="2"/>
        <v>0</v>
      </c>
      <c r="F41">
        <f>D41*D41</f>
        <v>0</v>
      </c>
    </row>
    <row r="42" spans="1:7">
      <c r="A42" s="19">
        <v>36</v>
      </c>
      <c r="B42" s="17">
        <v>0</v>
      </c>
      <c r="C42" s="17">
        <v>0</v>
      </c>
      <c r="D42" s="20">
        <f t="shared" si="1"/>
        <v>0</v>
      </c>
      <c r="E42" s="23">
        <f t="shared" si="2"/>
        <v>0</v>
      </c>
      <c r="F42">
        <f>D42*D42</f>
        <v>0</v>
      </c>
    </row>
    <row r="43" spans="1:7">
      <c r="A43" s="19">
        <v>37</v>
      </c>
      <c r="B43" s="17">
        <v>0</v>
      </c>
      <c r="C43" s="17">
        <v>0</v>
      </c>
      <c r="D43" s="20">
        <f t="shared" si="1"/>
        <v>0</v>
      </c>
      <c r="E43" s="23">
        <f t="shared" si="2"/>
        <v>0</v>
      </c>
      <c r="F43">
        <f>D43*D43</f>
        <v>0</v>
      </c>
    </row>
    <row r="44" spans="1:7">
      <c r="A44" s="19">
        <v>38</v>
      </c>
      <c r="B44" s="17">
        <v>0</v>
      </c>
      <c r="C44" s="17">
        <v>0</v>
      </c>
      <c r="D44" s="20">
        <f t="shared" si="1"/>
        <v>0</v>
      </c>
      <c r="E44" s="21">
        <f t="shared" si="2"/>
        <v>0</v>
      </c>
    </row>
    <row r="45" spans="1:7">
      <c r="A45" s="19">
        <v>39</v>
      </c>
      <c r="B45" s="17">
        <v>0</v>
      </c>
      <c r="C45" s="17">
        <v>0</v>
      </c>
      <c r="D45" s="20">
        <f t="shared" si="1"/>
        <v>0</v>
      </c>
      <c r="E45" s="21">
        <f t="shared" si="2"/>
        <v>0</v>
      </c>
      <c r="F45">
        <f>D45*D45</f>
        <v>0</v>
      </c>
    </row>
    <row r="46" spans="1:7">
      <c r="A46" s="19">
        <v>40</v>
      </c>
      <c r="B46" s="17">
        <v>0</v>
      </c>
      <c r="C46" s="17">
        <v>0</v>
      </c>
      <c r="D46" s="20">
        <f t="shared" si="1"/>
        <v>0</v>
      </c>
      <c r="E46" s="21">
        <f t="shared" si="2"/>
        <v>0</v>
      </c>
      <c r="F46">
        <f>D46*D46</f>
        <v>0</v>
      </c>
    </row>
    <row r="47" spans="1:7">
      <c r="A47" s="19">
        <v>41</v>
      </c>
      <c r="B47" s="17">
        <v>0</v>
      </c>
      <c r="C47" s="17">
        <v>0</v>
      </c>
      <c r="D47" s="20">
        <f t="shared" si="1"/>
        <v>0</v>
      </c>
      <c r="E47" s="21">
        <f t="shared" si="2"/>
        <v>0</v>
      </c>
    </row>
    <row r="48" spans="1:7">
      <c r="A48" s="19">
        <v>42</v>
      </c>
      <c r="B48" s="17">
        <v>0</v>
      </c>
      <c r="C48" s="17">
        <v>0</v>
      </c>
      <c r="D48" s="20">
        <f t="shared" si="1"/>
        <v>0</v>
      </c>
      <c r="E48" s="21">
        <f t="shared" si="2"/>
        <v>0</v>
      </c>
    </row>
    <row r="49" spans="1:7">
      <c r="A49" s="19">
        <v>43</v>
      </c>
      <c r="B49" s="17">
        <v>0</v>
      </c>
      <c r="C49" s="17">
        <v>0</v>
      </c>
      <c r="D49" s="20">
        <f t="shared" si="1"/>
        <v>0</v>
      </c>
      <c r="E49" s="21">
        <f t="shared" si="2"/>
        <v>0</v>
      </c>
      <c r="F49">
        <f>D49*D49</f>
        <v>0</v>
      </c>
    </row>
    <row r="50" spans="1:7">
      <c r="A50" s="19">
        <v>44</v>
      </c>
      <c r="B50" s="17">
        <v>0</v>
      </c>
      <c r="C50" s="17">
        <v>0</v>
      </c>
      <c r="D50" s="20">
        <f t="shared" si="1"/>
        <v>0</v>
      </c>
      <c r="E50" s="21">
        <f t="shared" si="2"/>
        <v>0</v>
      </c>
    </row>
    <row r="51" spans="1:7">
      <c r="A51" s="19">
        <v>45</v>
      </c>
      <c r="B51" s="17">
        <v>0</v>
      </c>
      <c r="C51" s="17">
        <v>0</v>
      </c>
      <c r="D51" s="20">
        <f t="shared" si="1"/>
        <v>0</v>
      </c>
      <c r="E51" s="21">
        <f t="shared" si="2"/>
        <v>0</v>
      </c>
    </row>
    <row r="52" spans="1:7">
      <c r="A52" s="19">
        <v>46</v>
      </c>
      <c r="B52" s="17">
        <v>0</v>
      </c>
      <c r="C52" s="17">
        <v>0</v>
      </c>
      <c r="D52" s="20">
        <f t="shared" si="1"/>
        <v>0</v>
      </c>
      <c r="E52" s="21">
        <f t="shared" si="2"/>
        <v>0</v>
      </c>
    </row>
    <row r="53" spans="1:7">
      <c r="A53" s="19">
        <v>47</v>
      </c>
      <c r="B53" s="17">
        <v>0</v>
      </c>
      <c r="C53" s="17">
        <v>0</v>
      </c>
      <c r="D53" s="20">
        <f t="shared" si="1"/>
        <v>0</v>
      </c>
      <c r="E53" s="21">
        <f t="shared" si="2"/>
        <v>0</v>
      </c>
      <c r="F53">
        <f>D53*D53</f>
        <v>0</v>
      </c>
    </row>
    <row r="54" spans="1:7">
      <c r="A54" s="19">
        <v>48</v>
      </c>
      <c r="B54" s="17">
        <v>0</v>
      </c>
      <c r="C54" s="17">
        <v>0</v>
      </c>
      <c r="D54" s="20">
        <f t="shared" si="1"/>
        <v>0</v>
      </c>
      <c r="E54" s="21">
        <f t="shared" si="2"/>
        <v>0</v>
      </c>
    </row>
    <row r="55" spans="1:7">
      <c r="A55" s="19">
        <v>49</v>
      </c>
      <c r="B55" s="17">
        <v>0</v>
      </c>
      <c r="C55" s="17">
        <v>0</v>
      </c>
      <c r="D55" s="20">
        <f t="shared" si="1"/>
        <v>0</v>
      </c>
      <c r="E55" s="21">
        <f t="shared" si="2"/>
        <v>0</v>
      </c>
    </row>
    <row r="56" spans="1:7" ht="13.5" thickBot="1">
      <c r="A56" s="19">
        <v>50</v>
      </c>
      <c r="B56" s="17">
        <v>0</v>
      </c>
      <c r="C56" s="17">
        <v>0</v>
      </c>
      <c r="D56" s="20">
        <f t="shared" si="1"/>
        <v>0</v>
      </c>
      <c r="E56" s="21">
        <f t="shared" si="2"/>
        <v>0</v>
      </c>
    </row>
    <row r="57" spans="1:7">
      <c r="D57" s="24" t="s">
        <v>83</v>
      </c>
      <c r="E57" s="25">
        <f>SUM(E7:E56)</f>
        <v>0</v>
      </c>
    </row>
    <row r="58" spans="1:7">
      <c r="A58">
        <f>COUNT(A7:A56)</f>
        <v>50</v>
      </c>
      <c r="D58" s="26" t="s">
        <v>84</v>
      </c>
      <c r="E58" s="27">
        <f>AVERAGE(E7:E56)</f>
        <v>0</v>
      </c>
    </row>
    <row r="59" spans="1:7" ht="13.5" thickBot="1">
      <c r="D59" s="28" t="s">
        <v>13</v>
      </c>
      <c r="E59" s="29">
        <f>SQRT(E58)</f>
        <v>0</v>
      </c>
    </row>
    <row r="60" spans="1:7">
      <c r="E60" s="30">
        <f>E59*1.96</f>
        <v>0</v>
      </c>
      <c r="F60">
        <f>COUNT(F7:F56)</f>
        <v>18</v>
      </c>
      <c r="G60" s="31">
        <f>F60/COUNT(A7:A56)</f>
        <v>0.36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A6519-4B54-44BB-AC85-735677D377E1}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MEPA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anaud</dc:creator>
  <cp:keywords/>
  <dc:description/>
  <cp:lastModifiedBy/>
  <cp:revision/>
  <dcterms:created xsi:type="dcterms:W3CDTF">2007-04-18T09:04:32Z</dcterms:created>
  <dcterms:modified xsi:type="dcterms:W3CDTF">2026-04-06T09:17:07Z</dcterms:modified>
  <cp:category/>
  <cp:contentStatus/>
</cp:coreProperties>
</file>